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defaultThemeVersion="166925"/>
  <xr:revisionPtr revIDLastSave="0" documentId="8_{53EE38F4-BCC1-45AD-AC67-9A9B18744BB2}" xr6:coauthVersionLast="47" xr6:coauthVersionMax="47" xr10:uidLastSave="{00000000-0000-0000-0000-000000000000}"/>
  <bookViews>
    <workbookView xWindow="-120" yWindow="-120" windowWidth="29040" windowHeight="15720" tabRatio="927" activeTab="11" xr2:uid="{00000000-000D-0000-FFFF-FFFF00000000}"/>
  </bookViews>
  <sheets>
    <sheet name="開始" sheetId="2" r:id="rId1"/>
    <sheet name="基本功能" sheetId="19" r:id="rId2"/>
    <sheet name="函數簡介" sheetId="16" r:id="rId3"/>
    <sheet name="AVERAGE" sheetId="1" r:id="rId4"/>
    <sheet name="MIN 和 MAX" sheetId="11" r:id="rId5"/>
    <sheet name="日期和時間" sheetId="10" r:id="rId6"/>
    <sheet name="合併文字和數值" sheetId="15" r:id="rId7"/>
    <sheet name="IF 陳述式" sheetId="13" r:id="rId8"/>
    <sheet name="VLOOKUP" sheetId="9" r:id="rId9"/>
    <sheet name="條件式函數" sheetId="7" r:id="rId10"/>
    <sheet name="函數精靈" sheetId="20" r:id="rId11"/>
    <sheet name="公式錯誤" sheetId="21" r:id="rId12"/>
    <sheet name="深入了解" sheetId="17" r:id="rId13"/>
  </sheets>
  <definedNames>
    <definedName name="_xlnm._FilterDatabase" localSheetId="1" hidden="1">基本功能!$P$9:$Q$10</definedName>
    <definedName name="_xlnm._FilterDatabase" localSheetId="9" hidden="1">條件式函數!$F$2:$H$14</definedName>
    <definedName name="_xlnm.Extract" localSheetId="9">條件式函數!$AB$2</definedName>
    <definedName name="grp_WalkMeArrows">"shp_ArrowCurved,txt_WalkMeArrows,shp_ArrowStraight"</definedName>
    <definedName name="grp_WalkMeBrace">"shp_BraceBottom,txt_WalkMeBrace,shp_BraceLeft"</definedName>
    <definedName name="lst_Fruit">tbl_Fruit[水果]</definedName>
    <definedName name="lst_FruitType">tbl_FruitType[蘋果]</definedName>
    <definedName name="SUMExtraCredit" localSheetId="2">函數簡介!$F$9:$G$14</definedName>
    <definedName name="水果" localSheetId="2">函數簡介!$C$2:$D$6</definedName>
    <definedName name="合計" localSheetId="2">函數簡介!$D$50:$D$51</definedName>
    <definedName name="肉品" localSheetId="2">函數簡介!$F$2:$G$6</definedName>
    <definedName name="更多水果" localSheetId="2">函數簡介!$C$34:$D$39</definedName>
    <definedName name="更多項目" localSheetId="2">函數簡介!$C$44:$D$48</definedName>
    <definedName name="香蕉">tbl_FruitType6[香蕉]</definedName>
    <definedName name="祕笈" localSheetId="2">函數簡介!$F$9:$G$14</definedName>
    <definedName name="項目" localSheetId="2">函數簡介!$C$9:$D$14</definedName>
    <definedName name="運費">1.25</definedName>
    <definedName name="橘子">tbl_FruitType4[橘子]</definedName>
    <definedName name="營業稅">0.0825</definedName>
    <definedName name="檸檬">tbl_FruitType5[檸檬]</definedName>
    <definedName name="蘋果">tbl_FruitType[蘋果]</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 i="10" l="1"/>
  <c r="F28" i="13" l="1" a="1"/>
  <c r="F28" i="13" s="1"/>
  <c r="D12" i="13"/>
  <c r="E106" i="7" l="1"/>
  <c r="D36" i="10" l="1"/>
  <c r="A38" i="7"/>
  <c r="D10" i="20"/>
  <c r="G51" i="16"/>
  <c r="D7" i="16"/>
  <c r="G7" i="19"/>
  <c r="D8" i="10"/>
  <c r="D9" i="21"/>
  <c r="J43" i="19"/>
  <c r="F35" i="13"/>
  <c r="G6" i="19"/>
  <c r="G5" i="19"/>
  <c r="G4" i="19"/>
  <c r="G3" i="19"/>
  <c r="G43" i="9"/>
  <c r="D43" i="9"/>
  <c r="F3" i="15"/>
  <c r="E3" i="15"/>
  <c r="H64" i="7"/>
  <c r="D64" i="7"/>
  <c r="D123" i="7"/>
  <c r="D51" i="16"/>
  <c r="G15" i="11"/>
  <c r="D39" i="16"/>
  <c r="D29" i="15"/>
  <c r="D28" i="15"/>
  <c r="D11" i="10"/>
  <c r="E31" i="13"/>
  <c r="D36" i="21"/>
  <c r="C33" i="15" l="1"/>
  <c r="C37" i="15"/>
  <c r="C32" i="15"/>
  <c r="C36" i="15"/>
  <c r="F31" i="13"/>
  <c r="F33" i="13" s="1"/>
  <c r="F37" i="1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<sst xmlns="http://schemas.openxmlformats.org/spreadsheetml/2006/main" count="624" uniqueCount="302">
  <si>
    <t>公式入門</t>
  </si>
  <si>
    <t>按 CTRL+HOME 就能回到頁首。若要進行導覽，請按 CTRL+PAGE DOWN。</t>
  </si>
  <si>
    <t>基本功能：使用 Excel 執行數學運算</t>
  </si>
  <si>
    <t xml:space="preserve">您不需要使用任何內建函數就能在 Excel 中執行加、減、乘、除。您只需要使用一些基本運算子：+、-、*、/。所有公式都是以等號 (=) 做為開頭。
</t>
  </si>
  <si>
    <t xml:space="preserve">若要相加，請選取儲存格 F3，輸入 =C3+C4，然後按 Enter。 
</t>
  </si>
  <si>
    <t xml:space="preserve">若要相減，請選取儲存格 F4，輸入 =C3-C4，然後按 Enter。 </t>
  </si>
  <si>
    <t xml:space="preserve">若要相乘，請選取儲存格 F5，輸入 =C3*C4，然後按 Enter。
</t>
  </si>
  <si>
    <t xml:space="preserve">若要相除，請選取儲存格 F6，輸入 =C3/C4，然後按 Enter。
</t>
  </si>
  <si>
    <t>立即查看：變更儲存格 C3 和 C4 中的數值，並且關注公式結果自動變更。</t>
  </si>
  <si>
    <t>祕笈：您可以使用插入號 (^) 將值遞增到乘冪，例如 =A1^A2。使用 Shift+6 輸入此符號。在儲存格 F7 中，輸入 =C3^C4。</t>
  </si>
  <si>
    <t>向下瀏覽以取得更多詳細資料</t>
  </si>
  <si>
    <t>下一個步驟</t>
  </si>
  <si>
    <t>深入了解公式、儲存格和範圍</t>
  </si>
  <si>
    <t xml:space="preserve">Excel 是由分組成列和欄的個別儲存格所構成。列是以數字編排，而欄是以字母編排。有超過 1 百萬列和 16,000 欄，而且您可以在它們的任何一個之中放入公式。 
</t>
  </si>
  <si>
    <t xml:space="preserve">公式可以包含儲存格參照、儲存格參照範圍、運算子和常數。以下是公式的所有範例：
=A1+B1
=10+20
=SUM(A1:A10)
</t>
  </si>
  <si>
    <t xml:space="preserve">您會發現在上方的第三個範例中，我們使用了 SUM 函數。函數是一種預先建立的命令，可取得一或多個值，以某種方式計算值，然後傳回結果。例如，SUM 函數會取得您指定的儲存格參照或範圍，然後取得它們的合計。在此範例中，它取得儲存格 A1 到 A10，然後取得它們的合計。Excel 有超過 400 個函數，您可以在 [公式] 索引標籤上瀏覽這些函數。
</t>
  </si>
  <si>
    <t xml:space="preserve">含有函數的公式會以等號做為開頭，然後函數名稱的後面會接著其引數 (函數用來計算的值) 並以括弧圍繞。 
</t>
  </si>
  <si>
    <t xml:space="preserve">若要確認公式，請按 Enter。這麼做之後，公式就會計算，而結果則會顯示在儲存格中。若要查看公式本身，您可以查看位於功能區下方的資料編輯列，或按 F2 以進入編輯模式，您會在這裡看到儲存格中的公式。再次按下 Enter 以完成公式並計算結果。
</t>
  </si>
  <si>
    <t>一些公式說明</t>
  </si>
  <si>
    <t>=SUM(A1:A10) 是公式，其中 SUM 是函數名稱，左括弧和右括弧包含公式引數，而 A1:A10 是函數的儲存格範圍。</t>
  </si>
  <si>
    <t>=SUM(A1:A10,C1:C10) 是公式，其中 SUM 是函數名稱，左括弧和右括弧包含公式引數，而 A1:A10,C1:C10 是以逗號隔開的函數儲存格範圍。</t>
  </si>
  <si>
    <t xml:space="preserve">不可不知：常數是您在儲存格或公式中輸入的值。雖然 =10+20 可能與 =A1+B1 的計算結果相同，但常數並不是理想的做法。為什麼？因為您需要選取儲存格並且加以尋找，才能找到常數。這會讓您日後難以進行變更。將常數放在儲存格中會簡單很多，這樣就能輕鬆調整，並在公式中參照。
例如︰選取下方顯示 12 的黃色儲存格。您會發現我們在儲存格範圍中使用 SUM 函數。我們並未在公式中直接輸入 "4" 或 "8"。 
</t>
  </si>
  <si>
    <t>上一個</t>
  </si>
  <si>
    <t>下一個</t>
  </si>
  <si>
    <t>Web 上的更多資訊</t>
  </si>
  <si>
    <t>用 Excel 當計算機</t>
  </si>
  <si>
    <t>Excel 中的公式概觀</t>
  </si>
  <si>
    <t xml:space="preserve">Excel 函數 (依類別) </t>
  </si>
  <si>
    <t>Excel 函數 (按字母順序) </t>
  </si>
  <si>
    <t>免費的 Excel 線上訓練</t>
  </si>
  <si>
    <t>要使用的數值：</t>
  </si>
  <si>
    <t>運算：</t>
  </si>
  <si>
    <t xml:space="preserve">加 (+) </t>
  </si>
  <si>
    <t xml:space="preserve">減 (-) </t>
  </si>
  <si>
    <t xml:space="preserve">乘 (*) </t>
  </si>
  <si>
    <t xml:space="preserve">除 (/) </t>
  </si>
  <si>
    <t xml:space="preserve">乘冪 (^) </t>
  </si>
  <si>
    <t>公式：</t>
  </si>
  <si>
    <t>答案：</t>
  </si>
  <si>
    <t>值</t>
  </si>
  <si>
    <t>函數簡介</t>
  </si>
  <si>
    <t>函數讓您能夠執行各種工作，例如執行數學運算、查詢值，或甚至計算日期和時間。讓我們試試看一些方法，使用 SUM 函數將值加總。</t>
  </si>
  <si>
    <t xml:space="preserve">在「水果」的「數量」欄 (儲存格 D7) 底下，輸入 =SUM(D3:D6)，或輸入 =SUM(，然後使用滑鼠選取範圍，並按下 Enter。這會將儲存格 D3、D4、D5 和 D6 中的值加總。答案應該是 170。
</t>
  </si>
  <si>
    <t>使用這個簡單的鍵盤快速鍵。選取儲存格 D15，然後按 Alt =，再按 Enter。這會自動輸入 SUM。</t>
  </si>
  <si>
    <t>祕笈
使用任何您已經嘗試過的方法來試試看 COUNT 函數。COUNT 函數會計算包含數值之某個範圍中的儲存格數目。</t>
  </si>
  <si>
    <t>深入了解函數</t>
  </si>
  <si>
    <t>移至 [公式] 索引標籤，然後瀏覽依類別列出函數的 [函數庫]，例如 [文字]、[日期和時間] 等。[插入函數] 可讓您依名稱搜尋函數，並啟動可協助您建立公式的函數精靈。
當您按下 = 後開始輸入函數名稱時，Excel 會啟動 IntelliSense，這會列出以您輸入之字母做為開頭的所有函數。找到想要的函數時，請按 Tab，而 Excel 會自動完成函數名稱，並為您輸入左括弧。它也會顯示選用和必要的引數。
現在讓我們看看一些函數的結構。SUM 函數的結構如下：</t>
  </si>
  <si>
    <t xml:space="preserve">如果 SUM 函數會說話，它會說：「傳回儲存格 D35 到 D38 中的所有值的加總，以及 H 整欄」。SUM 是函數名稱，D35:D38 是第一個範圍引數，這幾乎都是必要的項目，而 H:H 是第二個範圍引數 (以逗號隔開)。現在，讓我們試試看不需要任何引數的公式。
</t>
  </si>
  <si>
    <t>TODAY 函數傳回今天的日期。它會在 Excel 重新計算時自動更新。</t>
  </si>
  <si>
    <t xml:space="preserve">立即查看
選取這些儲存格。然後在 Excel 視窗右下角尋找 SUM：顯示在底部列的 170。這稱為狀態列，而且這只是另一種快速尋找合計和有關所選儲存格或範圍的其他詳細資料的方法。 </t>
  </si>
  <si>
    <t xml:space="preserve">要訣詳述
按兩下此儲存格。您會在尾端看到 100。雖然您可以像這樣在公式中加入數值，但除非必要，我們不建議您這麼做。這稱為「常數」，很容易忘記此數值的存在。建議您改為參照其他儲存格，例如儲存格 F51，以便輕鬆看到此數值，而不會隱藏在公式內。 </t>
  </si>
  <si>
    <t>全面了解 SUM 函數</t>
  </si>
  <si>
    <t>使用自動加總來加總數值</t>
  </si>
  <si>
    <t>全面了解 COUNT 函數</t>
  </si>
  <si>
    <t>回到頁首</t>
  </si>
  <si>
    <t>水果</t>
  </si>
  <si>
    <t>蘋果</t>
  </si>
  <si>
    <t>橘子</t>
  </si>
  <si>
    <t>香蕉</t>
  </si>
  <si>
    <t>檸檬</t>
  </si>
  <si>
    <t xml:space="preserve">SUM &gt; </t>
  </si>
  <si>
    <t>項目</t>
  </si>
  <si>
    <t>麵包</t>
  </si>
  <si>
    <t>甜甜圈</t>
  </si>
  <si>
    <t>餅乾</t>
  </si>
  <si>
    <t>蛋糕</t>
  </si>
  <si>
    <t>派</t>
  </si>
  <si>
    <t>汽車</t>
  </si>
  <si>
    <t>卡車</t>
  </si>
  <si>
    <t>自行車</t>
  </si>
  <si>
    <t>溜冰鞋</t>
  </si>
  <si>
    <t>數量</t>
  </si>
  <si>
    <t>金額</t>
  </si>
  <si>
    <t>合計：</t>
  </si>
  <si>
    <t>肉品</t>
  </si>
  <si>
    <t>牛肉</t>
  </si>
  <si>
    <t>雞肉</t>
  </si>
  <si>
    <t>豬肉</t>
  </si>
  <si>
    <t>魚肉</t>
  </si>
  <si>
    <t>COUNT &gt;</t>
  </si>
  <si>
    <t>其他值</t>
  </si>
  <si>
    <t>新合計</t>
  </si>
  <si>
    <t>AVERAGE 函數</t>
  </si>
  <si>
    <t xml:space="preserve">立即查看
選取任何數值範圍，然後在狀態列中立即查看平均值。
</t>
  </si>
  <si>
    <t>啟用上一個工作表</t>
  </si>
  <si>
    <t>移至下一個工作表</t>
  </si>
  <si>
    <t xml:space="preserve">祕笈
嘗試在這裡使用 MEDIAN 或 MODE。
MEDIAN 會提供資料集中間的值，而
MODE 則提供最常出現的值。
</t>
  </si>
  <si>
    <t>Web 上的更多資訊連結</t>
  </si>
  <si>
    <t>選取以在 Web 上全面了解 AVERAGE 函數</t>
  </si>
  <si>
    <t>選取以在 Web 上全面了解 MEDIAN 函數</t>
  </si>
  <si>
    <t>選取以在 Web 上全面了解 MODE 函數</t>
  </si>
  <si>
    <t>選取以在 Web 上了解免費的 Excel 訓練</t>
  </si>
  <si>
    <t>AVERAGE &gt;</t>
  </si>
  <si>
    <t>如果儲存格 D42 中的 SUM 函數會說話，它會說：將儲存格 D38、D39、D40 和 D41 中的值加總。</t>
  </si>
  <si>
    <t>全面了解 SUMIF 函數</t>
  </si>
  <si>
    <t>MIN 和 MAX 函數</t>
  </si>
  <si>
    <t xml:space="preserve">選取儲存格 D7，然後使用自動加總精靈來新增 [最小值] 函數。
</t>
  </si>
  <si>
    <t xml:space="preserve">在儲存格 D15 中，您可以使用自動加總精靈，或輸入以輸入 MIN 或 MAX 函數。 
</t>
  </si>
  <si>
    <t xml:space="preserve">Web 上的更多資訊
</t>
  </si>
  <si>
    <t>全面了解 MIN 函數</t>
  </si>
  <si>
    <t>全面了解 MAX 函數</t>
  </si>
  <si>
    <t xml:space="preserve">不可不知
您可以在多個範圍或多個值中使用 MIN 或 MAX，來顯示大於或小於這些值的值，例如 =MIN(A1:A10,B1:B10) 或 =MAX(A1:A10,B1)，其中 B1 包含閾值 (例如 10)，在這種情況下，公式不會傳回小於 10 的結果。
</t>
  </si>
  <si>
    <t>MIN &gt;</t>
  </si>
  <si>
    <t>MIN 或 MAX &gt;</t>
  </si>
  <si>
    <t>MAX &gt;</t>
  </si>
  <si>
    <t>日期函數</t>
  </si>
  <si>
    <t>Excel 可以根據您電腦的地區設定提供目前的日期。您也可以加上或減去日期。</t>
  </si>
  <si>
    <t xml:space="preserve">查看提供今天的日期的 TODAY 函數。這些是即時、動態的函數，因此當您明天開啟活頁簿時，它會變成明天的日期。在儲存格 D6 中輸入 =TODAY()。 
</t>
  </si>
  <si>
    <t xml:space="preserve">減去日期：以 MM/DD/YY 格式在儲存格 D7 中輸入您下一次的生日，然後在儲存格 D8 中使用 =D7-D6，看看 Excel 告訴您距離您下一次的生日還有多少天。
</t>
  </si>
  <si>
    <t xml:space="preserve">加上日期：假設您想要知道帳單的到期日，或是何時需要歸還圖書館的書籍。您可以對某個日期加上天數來了解這項資訊。在儲存格 D10 中，輸入隨機的天數。在儲存格 D11 中，我們已新增 =D6+D10 來計算到期日 (從今天起算)。
</t>
  </si>
  <si>
    <t xml:space="preserve">不可不知
Excel 會根據天數保存日期和時間 (從 1900 年 1 月 1 日起算)。時間會根據分鐘以一天的分數部分保存。因此，2017 年 1 月 1 日下午 12:30 其實是儲存為 42736.5208。如果 [時間] 或 [日期] 以像這樣的數值形式出現，您可以按 Ctrl+1 &gt; [數值] &gt; 選取 [日期] 或 [時間] 格式。 </t>
  </si>
  <si>
    <t xml:space="preserve">要訣詳述
如果您不想讓 Excel 因您還沒輸入生日而顯示負數，您可以像這樣使用 IF 函數：=IF(D7="","",D7-D6)，這表示「如果 D7 不等於任何值，則不顯示任何值，相反則顯示 D7 減去 D6」。
</t>
  </si>
  <si>
    <t>時間函數</t>
  </si>
  <si>
    <t xml:space="preserve">Excel 可以根據您電腦的地區設定提供目前的時間。您也可以加上或減去時間。例如，您可能需要追蹤員工每週工作多少時數，以及計算其薪水和加班費。
</t>
  </si>
  <si>
    <t xml:space="preserve">在儲存格 D28 中，輸入 =NOW()，這會提供目前的時間，而且會在 Excel 每次計算時更新。如果您需要變更 [時間] 格式，您可以移至 Ctrl+1 &gt; [數值] &gt; [時間] &gt; 選取您想要的格式。
</t>
  </si>
  <si>
    <t xml:space="preserve">將時間之間的時數加總：在儲存格 D36 中，我們已輸入 =((D35-D32)-(D34-D33))*24，這會計算某個人的開始和結束時間，然後減去他的午休時間。公式結尾的 *24 會將 Excel 顯示的一天的分數部分轉換為小時。不過您必須將儲存格的格式設定為 [數值]。若要這麼做，請移至 [常用] &gt; [格式] &gt; [儲存格] (Ctrl+1) &gt; [數值] &gt; [數值] &gt; 2 小數位數。
</t>
  </si>
  <si>
    <t>如果此公式會說話，它會說：「取得「下班」並用「上班」減去「下班」，然後減去「午休開始」/「午休結束」時間，再將它們乘以 24，以將 Excel 的分數時間轉換為小時」，或 =((上班 - 下班)-(午休結束 - 午休開始))*24。</t>
  </si>
  <si>
    <t>全面了解 TODAY 函數</t>
  </si>
  <si>
    <t>全面了解 NOW 函數</t>
  </si>
  <si>
    <t>全面了解 DATE 函數</t>
  </si>
  <si>
    <t>今天的日期：</t>
  </si>
  <si>
    <t>您的生日：</t>
  </si>
  <si>
    <t>您生日之前的天數：</t>
  </si>
  <si>
    <t>寬限期天數：</t>
  </si>
  <si>
    <t>帳單到期日：</t>
  </si>
  <si>
    <t>目前時間：</t>
  </si>
  <si>
    <t>每日工時</t>
  </si>
  <si>
    <t>上班：</t>
  </si>
  <si>
    <t>午休開始：</t>
  </si>
  <si>
    <t>午休結束：</t>
  </si>
  <si>
    <t>下班：</t>
  </si>
  <si>
    <t>總工時：</t>
  </si>
  <si>
    <t>靜態日期和時間</t>
  </si>
  <si>
    <t>日期：</t>
  </si>
  <si>
    <t>時間：</t>
  </si>
  <si>
    <t>合併來自不同儲存格的文字</t>
  </si>
  <si>
    <t xml:space="preserve">在 Excel 中，您可能會經常想要合併位於不同儲存格中的文字。以下是一個包含名字和姓氏的常見範例，而我們想將它們合併為「名字，姓氏」或「全名」。所幸，Excel 可讓我們使用 &amp; 符號 (可使用 Shift+7 輸入) 來執行此操作。
</t>
  </si>
  <si>
    <t xml:space="preserve">在儲存格 E3 中，輸入 =D3&amp;C3 以合併姓氏和名字。 
</t>
  </si>
  <si>
    <t xml:space="preserve">若要建立全名，我們需要合併名字和姓氏，但使用空格，而不是逗號。在 F3 中，輸入 =C3&amp;" "&amp;D3。
</t>
  </si>
  <si>
    <t>同時使用文字和數值</t>
  </si>
  <si>
    <t>現在我們將使用 &amp; 合併文字和數值，而不只是文字和文字。
看看儲存格 C28:D29。看到日期和時間位於個別的儲存格了嗎？您可以使用 &amp; 符號將它們合併在一起，就像在儲存格 C32:C33 看到的結果一樣，但這看起來不太對。很可惜，Excel 不知道您想要如何設定數值的格式，因此將它們分成其基本格式，在此情況下則顯示數列日期。我們需要明確告訴 Excel 如何設定公式的數值部分的格式，這樣它才會依您想要的方式顯示產生的文字字串。您可以使用 TEXT 函數和格式代碼來執行此操作。</t>
  </si>
  <si>
    <t>值得探究
如果您不知道要使用哪個格式代碼，您可以使用 Ctrl+1 &gt; [數值] 來依您想要的方式設定任何儲存格的格式。然後選取 [自訂] 選項。您可以複製重新顯示在您的公式的格式代碼。</t>
  </si>
  <si>
    <t>全面了解 TEXT 函數</t>
  </si>
  <si>
    <t>合併文字和數值</t>
  </si>
  <si>
    <t>名字</t>
  </si>
  <si>
    <t>使用文字和數值</t>
  </si>
  <si>
    <t>設定文字和數值的格式</t>
  </si>
  <si>
    <t>姓氏</t>
  </si>
  <si>
    <t>姓氏，名字</t>
  </si>
  <si>
    <t>全名</t>
  </si>
  <si>
    <t>IF 陳述式</t>
  </si>
  <si>
    <t>IF 陳述式可讓您在條件之間進行邏輯比較。IF 陳述式通常表示如果一項條件為 True，則執行某項操作，反之則執行其他操作。公式可以傳回文字、值或甚至更多計算。</t>
  </si>
  <si>
    <t xml:space="preserve">在儲存格 D9 中輸入 =IF(C9="蘋果",TRUE,FALSE)。正確答案為 TRUE。 
</t>
  </si>
  <si>
    <t xml:space="preserve">將 D9 複製到 D10。此處的答案應為 FALSE，因為橘子不是蘋果。
</t>
  </si>
  <si>
    <t xml:space="preserve">請查看儲存格 D12 中的公式，嘗試另一個範例。我們讓您從 =IF(C12&lt;100,"小於 100","大於或等於 100") 開始練習。如果您在儲存格 C12 中輸入大於 100 的數值，會發生什麼情況？
</t>
  </si>
  <si>
    <t>使用另一個函數的 IF 陳述式</t>
  </si>
  <si>
    <t xml:space="preserve">如果符合某個條件，IF 陳述式也可以強制執行其他計算。我們將在這裡評估某個儲存格，看看是否應收取營業稅，而且如果條件為 True，則進行計算。
</t>
  </si>
  <si>
    <t>在儲存格 F33 中，我們已輸入 =IF(E33="是",F31*營業稅,0)，其中已將「營業稅」設為含有 0.0825 值的具名範圍。我們的公式表示如果儲存格 E33 等於「是」，則將儲存格 F31 乘以「營業稅」，相反則傳回 0。
嘗試在儲存格 E33 中將「是」變更為「否」，看看計算的變化。</t>
  </si>
  <si>
    <t xml:space="preserve">接下來，我們已新增 IF 陳述式以視需要計算運費。在儲存格 F35 中，您會看到 =IF(E35="是",SUM(D28:D29)*1.25,0)。這表示「如果儲存格 E35 為「是」，則取得以上表格中的「數量」欄的加總，然後將它乘以 1.25，相反則傳回 0」。
</t>
  </si>
  <si>
    <t xml:space="preserve">接下來，將儲存格 F35 的公式中的 1.25 變更為「運費」。當您開始輸入時，Excel 的自動修正功能應該會為您找到它。找到時，請按 Tab 來輸入它。這是具名範圍，而我們是從 [公式] &gt; [定義名稱] 輸入它。現在，如果您需要變更運費，您只需要在同一個位置執行，而且您可以在活頁簿中的任何位置使用「運費」名稱。
</t>
  </si>
  <si>
    <t>不可不知
建立公式時，Excel 會自動在公式中所參照的任何範圍周圍加上彩色框線，而公式中對應的範圍將會是相同的色彩。如果您選取儲存格 F33 並按下 F2 來編輯公式，就會看見此情形。</t>
  </si>
  <si>
    <t xml:space="preserve">專家級祕訣
具名範圍可讓您在單一位置中定義期限或值，然後在整個活頁簿中重新使用它們。您可以移至 [公式] &gt; [名稱管理員]，以查看此活頁簿中的所有具名範圍。按一下這裡以深入了解。
</t>
  </si>
  <si>
    <t>全面了解 IF 函數</t>
  </si>
  <si>
    <t>全面了解 IFS 函數</t>
  </si>
  <si>
    <t>進階 IF 陳述式</t>
  </si>
  <si>
    <t>小工具</t>
  </si>
  <si>
    <t>小玩意</t>
  </si>
  <si>
    <t>小計</t>
  </si>
  <si>
    <t>營業稅？</t>
  </si>
  <si>
    <t>運費？</t>
  </si>
  <si>
    <t>合計</t>
  </si>
  <si>
    <t>成本</t>
  </si>
  <si>
    <t>是</t>
  </si>
  <si>
    <t>VLOOKUP</t>
  </si>
  <si>
    <t xml:space="preserve">VLOOKUP 是 Excel 中最廣泛使用的函數之一 (也是我們最愛的項目之一)。VLOOKUP 可讓您查詢左邊欄中的值，然後如果找到相符項目，則在右邊的另一個欄中傳回資訊。VLOOKUP 表示：
</t>
  </si>
  <si>
    <t>=VLOOKUP(A1,B:C,2,FALSE)</t>
  </si>
  <si>
    <t>您要尋找什麼內容？</t>
  </si>
  <si>
    <t>如果找到了，您要在右邊的幾欄取得值？</t>
  </si>
  <si>
    <t>您要在哪個位置尋找它？</t>
  </si>
  <si>
    <t>您想要的是完全符合，還是大約符合？</t>
  </si>
  <si>
    <t xml:space="preserve">在儲存格 D22 中，輸入 =VLOOKUP(C22,C17:D20,2,FALSE)。「蘋果」的正確答案為 50。VLOOKUP 尋找「蘋果」、找到它，然後移至右邊的另一欄並傳回數量。
</t>
  </si>
  <si>
    <t xml:space="preserve">現在請親自在儲存格 G22 的「肉品」區段中試試看。最後應該顯示 =VLOOKUP(F22,F17:G20,2,FALSE)。
</t>
  </si>
  <si>
    <t>試試看
嘗試從下拉式清單選取不同的項目。您會看到結果儲存格使用新值自己立即更新。</t>
  </si>
  <si>
    <t>VLOOKUP 和 #N/A</t>
  </si>
  <si>
    <t xml:space="preserve">您總是會遇到 VLOOKUP 找不到您要求的內容的情況，而且會傳回錯誤 (#N/A)。有時候，這是因為查詢值不存在，或者可能因為參照儲存格還沒有值。
</t>
  </si>
  <si>
    <t xml:space="preserve">如果您知道查詢值存在，但想要在查詢儲存格為空白時隱藏錯誤，您可以使用 IF 陳述式。在此情況下，我們會像這樣在儲存格 D43 中圍繞現有的 VLOOKUP 公式：
=IF(C43="","",VLOOKUP(C43,C37:D41,2,FALSE))
這表示如果儲存格 C43 不等於任何值 ("")，就不會傳回任何內容，相反則傳回 VLOOKUP 的結果。請注意公式結尾的第二個右括弧。這會完成 IF 陳述式。
</t>
  </si>
  <si>
    <t xml:space="preserve">如果您不確定您的查詢值是否存在，但您仍想要隱藏 #N/A 錯誤，您可以在儲存格 G43 中使用稱為 IFERROR 的錯誤處理函數：=IFERROR(VLOOKUP(F43,F37:G41,2,FALSE),"")。IFERROR 表示如果 VLOOKUP 傳回有效結果，則顯示該結果，相反則不顯示任何結果 ("")。我們在這裡不顯示任何結果 ("")，但您也可以使用數值 (0、1、2 等)，或是使用文字 (例如「公式不正確」。
</t>
  </si>
  <si>
    <t>要訣詳述
IFERROR 是所謂的總括錯誤處理常式，也就是說，它會隱藏公式可能傳回的任何錯誤。如果 Excel 通知您公式有合法錯誤需要修正，這可能會導致問題。
基本原則是，在您完全確定公式可以正常運作之前，請不要將錯誤處理常式新增到公式中。</t>
  </si>
  <si>
    <t>全面了解 VLOOKUP 函數</t>
  </si>
  <si>
    <t>全面了解 INDEX/MATCH 函數</t>
  </si>
  <si>
    <t>全面了解 IFERROR 函數</t>
  </si>
  <si>
    <t>使用樞紐分析表來分析工作表的資料</t>
  </si>
  <si>
    <t>糕點</t>
  </si>
  <si>
    <t>條件式函數 - SUMIF</t>
  </si>
  <si>
    <t>條件式函數可讓您根據指定的條件或指定的準則，取得加總、平均值、計數，或取得某個範圍的最小值或最大值。例如，清單內的所有水果之中有幾顆蘋果？或者，有多少佛羅里達類型的橘子？</t>
  </si>
  <si>
    <t>SUMIF 可讓您根據在另一個範圍中尋找的特定準則，在一個範圍執行加總，例如您有幾顆蘋果。選取儲存格 D17，然後輸入 =SUMIF(C3:C14,C17,D3:D14)。SUMIF 的結構如下：</t>
  </si>
  <si>
    <t>=SUMIF(C3:C14,C17,D3:D4)</t>
  </si>
  <si>
    <t>您要查看哪個範圍？</t>
  </si>
  <si>
    <t>您要尋找哪個值 (文字或數值)？</t>
  </si>
  <si>
    <t>針對找到的每個相符項目，您要在哪個範圍中執行加總？</t>
  </si>
  <si>
    <t xml:space="preserve">SUMIFS 與 SUMIF 相同，但它可讓您使用多個準則。因此，在此範例中，您可以尋找「水果」和「類型」，而不只是「水果」。選取儲存格 H17，然後輸入 =SUMIFS(H3:H14,F3:F14,F17,G3:G14,G17)。SUMIFS 的結構如下：
</t>
  </si>
  <si>
    <t>=SUMIFS(H3:H14,F3:F14,F17,G3:G14,G17)</t>
  </si>
  <si>
    <t>您要加總哪個範圍？</t>
  </si>
  <si>
    <t>這是尋找相符項目的第一個範圍</t>
  </si>
  <si>
    <t>這是第一個相符的準則</t>
  </si>
  <si>
    <t>這是尋找相符項目的第二個範圍</t>
  </si>
  <si>
    <t>這是第二個相符的準則</t>
  </si>
  <si>
    <t>專家級祕訣
每個「水果」和「類型」儲存格都有下拉式清單，您可以從中選取不同的水果。試試看，並且關注公式自動更新。</t>
  </si>
  <si>
    <t>條件式函數 - COUNTIF</t>
  </si>
  <si>
    <t>COUNTIF 和 COUNTIFS 可讓您根據您指定的準則，計算某個範圍中的值。它們與其他的 IF 和 IFS 函數稍微不同，它們只有一個準則範圍和準則。它們不會評估一個範圍，然後查詢另一個範圍進行彙總。</t>
  </si>
  <si>
    <t>選取儲存格 D64，然後輸入 =COUNTIF(C50:C61,C64)。COUNTIF 的結構如下：</t>
  </si>
  <si>
    <t>=COUNTIF(C50:C61,C64)</t>
  </si>
  <si>
    <t xml:space="preserve">COUNTIFS 與 SUMIF 相同，但它可讓您使用多個準則。因此，在此範例中，您可以尋找「水果」和「類型」，而不只是「水果」。選取儲存格 H64，然後輸入 =COUNTIFS(F50:F61,F64,G50:G61,G64)。COUNTIFS 的結構如下：
</t>
  </si>
  <si>
    <t>=COUNTIFS(F50:F61,F64,G50:G61,G64)</t>
  </si>
  <si>
    <t>這是執行計數的第一個範圍</t>
  </si>
  <si>
    <t>這是執行計數的第二個範圍</t>
  </si>
  <si>
    <t>更多條件式函數</t>
  </si>
  <si>
    <t xml:space="preserve">您已經看過 SUMIF、SUMIFS、COUNTIF 和 COUNTIFS。您現在可以使用其他函數 (例如 AVERAGEIF/S、MAXIFS、MINIFS) 嘗試您自己的組合。它們都有相同的結構，因此撰寫完一個公式後，就可以直接用您想要的函數來取代函數名稱。我們已撰寫您在儲存格 E106 中會需要的所有函數，因此您可以複製/貼上這些函數，或嘗試自行練習輸入這些函數。
SUMIF	=SUMIF(C92:C103,C106,E92:E103)
SUMIFS	=SUMIFS(E92:E103,C92:C103,C106,D92:D103,D106)
AVERAGEIF	=AVERAGEIF(C92:C103,C106,E92:E103)
AVERAGEIFS	=AVERAGEIFS(E92:E103,C92:C103,C106,D92:D103,D106)
COUNTIF	=COUNTIF(C92:C103,C106)
COUNTIFS	=COUNTIFS(C92:C103,C106,D92:D103,D106)
MAXIFS	=MAXIFS(E92:E103,C92:C103,C106,D92:D103,D106)
MINIFS	=MINIFS(E92:E103,C92:C103,C106,D92:D103,D106)
</t>
  </si>
  <si>
    <t>使用值引數的 SUMIF</t>
  </si>
  <si>
    <t>以下是使用大於 (&gt;) 的 SUMIF 函數範例，尋找大於指定數量的所有值：</t>
  </si>
  <si>
    <t>依據以下準則將某些數值加總：</t>
  </si>
  <si>
    <t>....查看這些儲存格...
 </t>
  </si>
  <si>
    <t>...如果值大於 50，進行加總。
 </t>
  </si>
  <si>
    <t>注意：如果您撰寫了大量條件式公式，建議您使用樞紐分析表。如需詳細資訊，請參閱這篇樞紐分析表文章。</t>
  </si>
  <si>
    <t>全面了解 SUMIFS 函數</t>
  </si>
  <si>
    <t>全面了解 COUNTIF 函數</t>
  </si>
  <si>
    <t>全面了解 COUNTIFS 函數</t>
  </si>
  <si>
    <t>全面了解 AVERAGEIF 函數</t>
  </si>
  <si>
    <t>全面了解 AVERAGEIFS 函數</t>
  </si>
  <si>
    <t>全面了解 MINIFS 函數</t>
  </si>
  <si>
    <t>全面了解 MAXIFS 函數</t>
  </si>
  <si>
    <t>建立下拉式清單</t>
  </si>
  <si>
    <t>SUMIF</t>
  </si>
  <si>
    <t>COUNTIF</t>
  </si>
  <si>
    <t>類型</t>
  </si>
  <si>
    <t>富士</t>
  </si>
  <si>
    <t>佛羅里達</t>
  </si>
  <si>
    <t>香芽蕉</t>
  </si>
  <si>
    <t>粗皮</t>
  </si>
  <si>
    <t>脆蜜</t>
  </si>
  <si>
    <t>臍橙</t>
  </si>
  <si>
    <t>粉蕉</t>
  </si>
  <si>
    <t>優利卡</t>
  </si>
  <si>
    <t>試試看</t>
  </si>
  <si>
    <t>SUMIFS</t>
  </si>
  <si>
    <t>COUNTIFS</t>
  </si>
  <si>
    <t>讓函數精靈引導您</t>
  </si>
  <si>
    <t xml:space="preserve">如果您知道想要的函數名稱，但您不確定如何建立函數，您可以使用函數精靈來協助您。
</t>
  </si>
  <si>
    <t xml:space="preserve">選取儲存格 D10，然後移至 [公式] &gt; [插入函數] &gt; 在 [搜尋函數] 方塊中輸入 VLOOKUP，再按 [開始]。當您看到 VLOOKUP 強調顯示時，請按一下底部的 [確定]。當您選取清單中的函數時，Excel 會顯示其語法。
</t>
  </si>
  <si>
    <t xml:space="preserve">接下來，在其個別的文字方塊中輸入函數引數。當您逐一輸入時，Excel 會進行評估，並顯示其結果，以及在底部顯示最終結果。當您輸入每個區段時，每個引數的準則會列於表單的底部。完成時，請按 [確定]，而 Excel 會為您輸入公式。
</t>
  </si>
  <si>
    <t>立即查看
最後應該顯示 =VLOOKUP(C10,C5:D8,2,FALSE)</t>
  </si>
  <si>
    <t>不可不知
您可以輸入儲存格和範圍參照，或使用滑鼠選取它們。</t>
  </si>
  <si>
    <t xml:space="preserve">不可不知
當您輸入每個引數的區段時，引數的描述會顯示在表單的底部，以及公式結果的上方。
</t>
  </si>
  <si>
    <t>Excel 函數 (依類別)</t>
  </si>
  <si>
    <t>Excel 函數 (按字母順序)</t>
  </si>
  <si>
    <t>修正公式錯誤</t>
  </si>
  <si>
    <t xml:space="preserve">有時候難免會遇到有錯誤的公式，而 Excel 會顯示  #ErrorName。錯誤非常有用，因為錯誤會指出無法正常運作的某個項目，但是錯誤可能很難修正。所幸，有一些能夠協助您追蹤錯誤來源並加以修正的選項。
</t>
  </si>
  <si>
    <t xml:space="preserve">錯誤檢查：移至 [公式] &gt; [錯誤檢查]。這會載入對話方塊，說明特定錯誤的一般原因。在儲存格 D9 中，導致 #N/A 錯誤的原因是沒有與「蘋果」相符的值。您可以使用確實存在的值來修正此問題、使用 IFERROR 來隱藏錯誤，或忽略錯誤，因為您知道錯誤會在您使用確實存在的值時消失。
</t>
  </si>
  <si>
    <t xml:space="preserve">如果您按一下 [此錯誤的說明]，將會開啟錯誤訊息的相關特定說明主題。如果您按一下 [顯示計算步驟]，將會載入 [評估值公式] 對話方塊。
</t>
  </si>
  <si>
    <t xml:space="preserve">每當您按一下 [評估值] 時，Excel 會逐步執行公式 (一次一個區段)。這不一定會告訴您發生錯誤的原因，但會指出錯誤所在的位置。從這裡查看說明主題來推算公式哪裡出錯了。
</t>
  </si>
  <si>
    <t>試試看
這裡發生什麼問題？提示：我們正嘗試將所有項目 [加總]。</t>
  </si>
  <si>
    <t xml:space="preserve">不可不知
按一下 [選項] 可讓您設定顯示或忽略 Excel 中的錯誤時的規則。
</t>
  </si>
  <si>
    <t>偵測公式中的錯誤</t>
  </si>
  <si>
    <t>如何避免公式出錯</t>
  </si>
  <si>
    <t>評估巢狀公式 (一次一個步驟)</t>
  </si>
  <si>
    <t>對 Excel 有其他問題嗎？</t>
  </si>
  <si>
    <t>按 ALT+Q，然後輸入您想了解的內容。</t>
  </si>
  <si>
    <t>請繼續進行。還有更多 Excel 的相關知識：</t>
  </si>
  <si>
    <t xml:space="preserve">社群：提出問題並與其他 Excel 粉絲交流互動。
</t>
  </si>
  <si>
    <t xml:space="preserve">還有什麼新功能？
Office 365 訂閱者會持續取得更新和新功能。
</t>
  </si>
  <si>
    <t>只需完成幾個步驟，就能充分了解如何使用 Excel 這款全球最強大的試算表 App 來建立公式和函數。</t>
    <phoneticPr fontId="23" type="noConversion"/>
  </si>
  <si>
    <r>
      <t xml:space="preserve">使用 </t>
    </r>
    <r>
      <rPr>
        <b/>
        <sz val="10"/>
        <color theme="0"/>
        <rFont val="Microsoft JhengHei UI"/>
        <family val="2"/>
        <charset val="136"/>
      </rPr>
      <t>MIN</t>
    </r>
    <r>
      <rPr>
        <sz val="10"/>
        <color theme="0"/>
        <rFont val="Microsoft JhengHei UI"/>
        <family val="2"/>
        <charset val="136"/>
      </rPr>
      <t xml:space="preserve"> 函數來取得儲存格範圍中的最小數值。</t>
    </r>
  </si>
  <si>
    <r>
      <t xml:space="preserve">使用 </t>
    </r>
    <r>
      <rPr>
        <b/>
        <sz val="10"/>
        <color theme="0"/>
        <rFont val="Microsoft JhengHei UI"/>
        <family val="2"/>
        <charset val="136"/>
      </rPr>
      <t>MAX</t>
    </r>
    <r>
      <rPr>
        <sz val="10"/>
        <color theme="0"/>
        <rFont val="Microsoft JhengHei UI"/>
        <family val="2"/>
        <charset val="136"/>
      </rPr>
      <t xml:space="preserve"> 函數來取得儲存格範圍中的最大數值。</t>
    </r>
  </si>
  <si>
    <r>
      <t xml:space="preserve">使用 </t>
    </r>
    <r>
      <rPr>
        <b/>
        <sz val="11"/>
        <color theme="0"/>
        <rFont val="Microsoft JhengHei UI"/>
        <family val="2"/>
        <charset val="136"/>
      </rPr>
      <t>AVERAGE</t>
    </r>
    <r>
      <rPr>
        <sz val="11"/>
        <color theme="0"/>
        <rFont val="Microsoft JhengHei UI"/>
        <family val="2"/>
        <charset val="136"/>
      </rPr>
      <t xml:space="preserve"> 函數來取得儲存格範圍中的數值的平均值。</t>
    </r>
  </si>
  <si>
    <r>
      <t xml:space="preserve">選取儲存格 D7，然後使用 </t>
    </r>
    <r>
      <rPr>
        <b/>
        <sz val="11"/>
        <color theme="0"/>
        <rFont val="Microsoft JhengHei UI"/>
        <family val="2"/>
        <charset val="136"/>
      </rPr>
      <t>[自動加總]</t>
    </r>
    <r>
      <rPr>
        <sz val="11"/>
        <color theme="0"/>
        <rFont val="Microsoft JhengHei UI"/>
        <family val="2"/>
        <charset val="136"/>
      </rPr>
      <t xml:space="preserve"> 來新增 </t>
    </r>
    <r>
      <rPr>
        <b/>
        <sz val="11"/>
        <color theme="0"/>
        <rFont val="Microsoft JhengHei UI"/>
        <family val="2"/>
        <charset val="136"/>
      </rPr>
      <t>[平均值]</t>
    </r>
    <r>
      <rPr>
        <sz val="11"/>
        <color theme="0"/>
        <rFont val="Microsoft JhengHei UI"/>
        <family val="2"/>
        <charset val="136"/>
      </rPr>
      <t xml:space="preserve"> 函數。</t>
    </r>
  </si>
  <si>
    <r>
      <t xml:space="preserve">現在選取儲存格 G7，然後輸入 </t>
    </r>
    <r>
      <rPr>
        <b/>
        <sz val="11"/>
        <color theme="0"/>
        <rFont val="Microsoft JhengHei UI"/>
        <family val="2"/>
        <charset val="136"/>
      </rPr>
      <t xml:space="preserve">=AVERAGE(G3:G6) </t>
    </r>
    <r>
      <rPr>
        <sz val="11"/>
        <color theme="1"/>
        <rFont val="Microsoft JhengHei UI"/>
        <family val="2"/>
        <charset val="136"/>
      </rPr>
      <t xml:space="preserve">以輸入 </t>
    </r>
    <r>
      <rPr>
        <b/>
        <sz val="11"/>
        <color theme="0"/>
        <rFont val="Microsoft JhengHei UI"/>
        <family val="2"/>
        <charset val="136"/>
      </rPr>
      <t>AVERAGE</t>
    </r>
    <r>
      <rPr>
        <sz val="11"/>
        <color theme="0"/>
        <rFont val="Microsoft JhengHei UI"/>
        <family val="2"/>
        <charset val="136"/>
      </rPr>
      <t xml:space="preserve"> 函數。 </t>
    </r>
  </si>
  <si>
    <r>
      <t xml:space="preserve">在儲存格 D15 中，您可以使用 </t>
    </r>
    <r>
      <rPr>
        <b/>
        <sz val="11"/>
        <color theme="0"/>
        <rFont val="Microsoft JhengHei UI"/>
        <family val="2"/>
        <charset val="136"/>
      </rPr>
      <t>[自動加總]</t>
    </r>
    <r>
      <rPr>
        <sz val="11"/>
        <color theme="0"/>
        <rFont val="Microsoft JhengHei UI"/>
        <family val="2"/>
        <charset val="136"/>
      </rPr>
      <t xml:space="preserve">，或輸入以輸入另一個 </t>
    </r>
    <r>
      <rPr>
        <b/>
        <sz val="11"/>
        <color theme="0"/>
        <rFont val="Microsoft JhengHei UI"/>
        <family val="2"/>
        <charset val="136"/>
      </rPr>
      <t>[平均值]</t>
    </r>
    <r>
      <rPr>
        <sz val="11"/>
        <color theme="0"/>
        <rFont val="Microsoft JhengHei UI"/>
        <family val="2"/>
        <charset val="136"/>
      </rPr>
      <t xml:space="preserve"> 函數。 </t>
    </r>
  </si>
  <si>
    <t>=10+20 是公式，其中 10 和 20 是常數，而 + 符號是運算子。</t>
    <phoneticPr fontId="23" type="noConversion"/>
  </si>
  <si>
    <t>Smith</t>
  </si>
  <si>
    <t>Andy</t>
  </si>
  <si>
    <t>North</t>
  </si>
  <si>
    <t>Jan</t>
  </si>
  <si>
    <t>Kotas</t>
  </si>
  <si>
    <t>Mariya</t>
  </si>
  <si>
    <t>Jones</t>
  </si>
  <si>
    <t>Steven</t>
  </si>
  <si>
    <t>Thorpe</t>
  </si>
  <si>
    <t>Michael</t>
  </si>
  <si>
    <t>Neipper</t>
  </si>
  <si>
    <t>Robert</t>
  </si>
  <si>
    <t>Zare</t>
  </si>
  <si>
    <t>Yvonne</t>
  </si>
  <si>
    <t>McKay</t>
  </si>
  <si>
    <t>Nancy</t>
    <phoneticPr fontId="23" type="noConversion"/>
  </si>
  <si>
    <t xml:space="preserve">現在選取儲存格 G7，然後輸入 =MAX(G3:G6) 以輸入 MAX 函數。
</t>
    <phoneticPr fontId="23" type="noConversion"/>
  </si>
  <si>
    <t>蘋 果</t>
    <phoneticPr fontId="23" type="noConversion"/>
  </si>
  <si>
    <t>要訣詳述
TRUE 和 FALSE 不同於 Excel 公式中的其他文字，它們不需要加上引號，而且 Excel 會自動將它們轉為大寫。數值也不需要加上引號。一般文字 (例如「是」或「否」) 不需要像這樣加上引號：
=IF(C9="蘋果","是","否")</t>
    <phoneticPr fontId="23" type="noConversion"/>
  </si>
  <si>
    <t>立即查看
公式 (尤其是大型公式) 有時可能很難閱讀，但您可以像這樣將它們分成多個部分並加上空格：
=C28 &amp; " " &amp; TEXT(D28,"YYYY年M月D日")</t>
    <phoneticPr fontId="23" type="noConversion"/>
  </si>
  <si>
    <t xml:space="preserve">在儲存格 C37 中，輸入=C29&amp;" "&amp;TEXT(D29,"H:MM")。H:MM是「小時:分鐘」的中文格式代碼，例如 1:30。
</t>
    <phoneticPr fontId="23" type="noConversion"/>
  </si>
  <si>
    <t xml:space="preserve">在儲存格 C36 中，輸入 =C28&amp;" "&amp;TEXT(D28,"YYYY年M月D日")。YYYY年M月D日是「年/月/日」的中文格式代碼，例如2017年9月25日。
</t>
    <phoneticPr fontId="23" type="noConversion"/>
  </si>
  <si>
    <t xml:space="preserve">但SmithNancy看起來不太對。我們需要加上逗號和空格。若要這麼做，我們需要使用引號來建立新文字字串。這次，輸入 =D3&amp;", "&amp;C3。&amp;", "&amp; 部分可讓我們將逗號及空格與儲存格中的文字合併。
</t>
    <phoneticPr fontId="23" type="noConversion"/>
  </si>
  <si>
    <t xml:space="preserve">現在讓我們試試看 [自動加總]。選取「肉品」欄底下的儲存格 (儲存格 G7)，然後移至 [公式] &gt; [自動加總] &gt; 選取加總。您會看到 Excel 自動輸入公式。按 Enter 加以確認。[自動加總] 功能有所有最常用的函數。
</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</si>
</sst>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76" formatCode="_(* #,##0_);_(* \(#,##0\);_(* &quot;-&quot;_);_(@_)"/>
    <numFmt numFmtId="177" formatCode="_(* #,##0.00_);_(* \(#,##0.00\);_(* &quot;-&quot;??_);_(@_)"/>
    <numFmt numFmtId="178" formatCode="mm/dd/yy;@"/>
    <numFmt numFmtId="179" formatCode="_-&quot;NT$&quot;* #,##0.00_ ;_-&quot;NT$&quot;* \-#,##0.00\ ;_-&quot;NT$&quot;* &quot;-&quot;??_ ;_-@_ "/>
    <numFmt numFmtId="180" formatCode="_-&quot;NT$&quot;* #,##0_ ;_-&quot;NT$&quot;* \-#,##0\ ;_-&quot;NT$&quot;* &quot;-&quot;_ ;_-@_ "/>
    <numFmt numFmtId="181" formatCode="&quot;NT$&quot;#,##0.00_);[Red]\(&quot;NT$&quot;#,##0.00\)"/>
    <numFmt numFmtId="182" formatCode="h:mm;@"/>
    <numFmt numFmtId="183" formatCode="[$-F400]h:mm:ss\ AM/PM"/>
  </numFmts>
  <fonts count="42" x14ac:knownFonts="1">
    <font>
      <sz val="11"/>
      <color theme="1"/>
      <name val="Microsoft JhengHei UI"/>
      <family val="2"/>
    </font>
    <font>
      <sz val="11"/>
      <color theme="1"/>
      <name val="Microsoft JhengHei UI"/>
      <family val="2"/>
    </font>
    <font>
      <sz val="11"/>
      <color theme="0"/>
      <name val="Microsoft JhengHei UI"/>
      <family val="2"/>
    </font>
    <font>
      <sz val="11"/>
      <color rgb="FF006100"/>
      <name val="Microsoft JhengHei UI"/>
      <family val="2"/>
    </font>
    <font>
      <sz val="11"/>
      <color rgb="FF9C0006"/>
      <name val="Microsoft JhengHei UI"/>
      <family val="2"/>
    </font>
    <font>
      <u/>
      <sz val="11"/>
      <color theme="11"/>
      <name val="Microsoft JhengHei UI"/>
      <family val="2"/>
    </font>
    <font>
      <sz val="18"/>
      <color theme="3"/>
      <name val="Microsoft JhengHei UI"/>
      <family val="2"/>
    </font>
    <font>
      <b/>
      <sz val="15"/>
      <color theme="3"/>
      <name val="Microsoft JhengHei UI"/>
      <family val="2"/>
    </font>
    <font>
      <b/>
      <sz val="11"/>
      <color theme="3"/>
      <name val="Microsoft JhengHei UI"/>
      <family val="2"/>
    </font>
    <font>
      <b/>
      <sz val="11"/>
      <color theme="0"/>
      <name val="Microsoft JhengHei UI"/>
      <family val="2"/>
    </font>
    <font>
      <sz val="17"/>
      <color theme="0"/>
      <name val="Microsoft JhengHei UI"/>
      <family val="2"/>
    </font>
    <font>
      <sz val="72"/>
      <color theme="0"/>
      <name val="Microsoft JhengHei UI"/>
      <family val="2"/>
    </font>
    <font>
      <sz val="11"/>
      <color rgb="FF0B744D"/>
      <name val="Microsoft JhengHei UI"/>
      <family val="2"/>
    </font>
    <font>
      <b/>
      <sz val="11"/>
      <color theme="1"/>
      <name val="Microsoft JhengHei UI"/>
      <family val="2"/>
    </font>
    <font>
      <i/>
      <sz val="11"/>
      <color rgb="FF7F7F7F"/>
      <name val="Microsoft JhengHei UI"/>
      <family val="2"/>
    </font>
    <font>
      <sz val="11"/>
      <color rgb="FFFF0000"/>
      <name val="Microsoft JhengHei UI"/>
      <family val="2"/>
    </font>
    <font>
      <b/>
      <sz val="11"/>
      <color rgb="FFFA7D00"/>
      <name val="Microsoft JhengHei UI"/>
      <family val="2"/>
    </font>
    <font>
      <u/>
      <sz val="11"/>
      <color theme="10"/>
      <name val="Microsoft JhengHei UI"/>
      <family val="2"/>
    </font>
    <font>
      <sz val="11"/>
      <color rgb="FF3F3F76"/>
      <name val="Microsoft JhengHei UI"/>
      <family val="2"/>
    </font>
    <font>
      <b/>
      <sz val="11"/>
      <color rgb="FF3F3F3F"/>
      <name val="Microsoft JhengHei UI"/>
      <family val="2"/>
    </font>
    <font>
      <sz val="11"/>
      <color rgb="FF9C5700"/>
      <name val="Microsoft JhengHei UI"/>
      <family val="2"/>
    </font>
    <font>
      <sz val="11"/>
      <color rgb="FFFA7D00"/>
      <name val="Microsoft JhengHei UI"/>
      <family val="2"/>
    </font>
    <font>
      <sz val="11"/>
      <color theme="1"/>
      <name val="Microsoft JhengHei UI"/>
      <family val="2"/>
      <charset val="136"/>
    </font>
    <font>
      <sz val="9"/>
      <name val="細明體"/>
      <family val="3"/>
      <charset val="136"/>
    </font>
    <font>
      <sz val="54"/>
      <color theme="0"/>
      <name val="Microsoft JhengHei UI"/>
      <family val="2"/>
      <charset val="136"/>
    </font>
    <font>
      <sz val="17"/>
      <color theme="0"/>
      <name val="Microsoft JhengHei UI"/>
      <family val="2"/>
      <charset val="136"/>
    </font>
    <font>
      <sz val="11"/>
      <color rgb="FF0B744D"/>
      <name val="Microsoft JhengHei UI"/>
      <family val="2"/>
      <charset val="136"/>
    </font>
    <font>
      <sz val="11"/>
      <color theme="0"/>
      <name val="Microsoft JhengHei UI"/>
      <family val="2"/>
      <charset val="136"/>
    </font>
    <font>
      <sz val="12"/>
      <color theme="1"/>
      <name val="Microsoft JhengHei UI"/>
      <family val="2"/>
      <charset val="136"/>
    </font>
    <font>
      <sz val="24"/>
      <color theme="1"/>
      <name val="Microsoft JhengHei UI"/>
      <family val="2"/>
      <charset val="136"/>
    </font>
    <font>
      <sz val="22"/>
      <color rgb="FF3B3838"/>
      <name val="Microsoft JhengHei UI"/>
      <family val="2"/>
      <charset val="136"/>
    </font>
    <font>
      <b/>
      <sz val="11"/>
      <color theme="0"/>
      <name val="Microsoft JhengHei UI"/>
      <family val="2"/>
      <charset val="136"/>
    </font>
    <font>
      <sz val="11"/>
      <color rgb="FF404040"/>
      <name val="Microsoft JhengHei UI"/>
      <family val="2"/>
      <charset val="136"/>
    </font>
    <font>
      <b/>
      <sz val="14"/>
      <color rgb="FF404040"/>
      <name val="Microsoft JhengHei UI"/>
      <family val="2"/>
      <charset val="136"/>
    </font>
    <font>
      <b/>
      <sz val="11"/>
      <color theme="1"/>
      <name val="Microsoft JhengHei UI"/>
      <family val="2"/>
      <charset val="136"/>
    </font>
    <font>
      <b/>
      <sz val="11"/>
      <color theme="4"/>
      <name val="Microsoft JhengHei UI"/>
      <family val="2"/>
      <charset val="136"/>
    </font>
    <font>
      <sz val="10"/>
      <color theme="0"/>
      <name val="Microsoft JhengHei UI"/>
      <family val="2"/>
      <charset val="136"/>
    </font>
    <font>
      <b/>
      <sz val="10"/>
      <color theme="0"/>
      <name val="Microsoft JhengHei UI"/>
      <family val="2"/>
      <charset val="136"/>
    </font>
    <font>
      <sz val="26"/>
      <color theme="2" tint="-0.749992370372631"/>
      <name val="Microsoft JhengHei UI"/>
      <family val="2"/>
      <charset val="136"/>
    </font>
    <font>
      <sz val="12"/>
      <color theme="1" tint="0.249977111117893"/>
      <name val="Microsoft JhengHei UI"/>
      <family val="2"/>
      <charset val="136"/>
    </font>
    <font>
      <sz val="20"/>
      <color rgb="FF000000"/>
      <name val="Microsoft JhengHei UI"/>
      <family val="2"/>
      <charset val="136"/>
    </font>
    <font>
      <u/>
      <sz val="11"/>
      <color theme="10"/>
      <name val="Microsoft JhengHei UI"/>
      <family val="2"/>
      <charset val="136"/>
    </font>
  </fonts>
  <fills count="38">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1">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right/>
      <top/>
      <bottom style="thin">
        <color theme="0" tint="-0.499984740745262"/>
      </bottom>
      <diagonal/>
    </border>
    <border>
      <left/>
      <right/>
      <top/>
      <bottom style="thin">
        <color rgb="FFB2B2B2"/>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12" fillId="0" borderId="0" applyFill="0" applyBorder="0">
      <alignment wrapText="1"/>
    </xf>
    <xf numFmtId="0" fontId="1" fillId="0" borderId="0"/>
    <xf numFmtId="0" fontId="11" fillId="2" borderId="0" applyNumberFormat="0" applyBorder="0" applyProtection="0">
      <alignment horizontal="left" indent="1"/>
    </xf>
    <xf numFmtId="0" fontId="10" fillId="2" borderId="0" applyNumberFormat="0" applyProtection="0">
      <alignment horizontal="left" wrapText="1" indent="4"/>
    </xf>
    <xf numFmtId="0" fontId="12" fillId="2" borderId="0" applyNumberFormat="0" applyProtection="0">
      <alignment horizontal="left" wrapText="1" indent="4"/>
    </xf>
    <xf numFmtId="0" fontId="2" fillId="0" borderId="0"/>
    <xf numFmtId="0" fontId="2" fillId="3" borderId="0" applyNumberFormat="0" applyBorder="0" applyProtection="0"/>
    <xf numFmtId="0" fontId="1" fillId="4" borderId="0"/>
    <xf numFmtId="0" fontId="1" fillId="5" borderId="1"/>
    <xf numFmtId="0" fontId="1" fillId="4" borderId="2"/>
    <xf numFmtId="0" fontId="1" fillId="0" borderId="0"/>
    <xf numFmtId="0" fontId="1" fillId="4" borderId="0"/>
    <xf numFmtId="0" fontId="1" fillId="5" borderId="1"/>
    <xf numFmtId="0" fontId="1" fillId="4" borderId="2"/>
    <xf numFmtId="0" fontId="1" fillId="0" borderId="0"/>
    <xf numFmtId="0" fontId="17" fillId="0" borderId="0" applyNumberFormat="0" applyFill="0" applyBorder="0" applyAlignment="0" applyProtection="0"/>
    <xf numFmtId="0" fontId="1" fillId="4" borderId="0"/>
    <xf numFmtId="0" fontId="1" fillId="5" borderId="1"/>
    <xf numFmtId="0" fontId="1" fillId="4" borderId="2"/>
    <xf numFmtId="0" fontId="5" fillId="0" borderId="0" applyNumberFormat="0" applyFill="0" applyBorder="0" applyAlignment="0" applyProtection="0"/>
    <xf numFmtId="177" fontId="1" fillId="0" borderId="0" applyFont="0" applyFill="0" applyBorder="0" applyAlignment="0" applyProtection="0"/>
    <xf numFmtId="176" fontId="1" fillId="0" borderId="0" applyFont="0" applyFill="0" applyBorder="0" applyAlignment="0" applyProtection="0"/>
    <xf numFmtId="179" fontId="1" fillId="0" borderId="0" applyFont="0" applyFill="0" applyBorder="0" applyAlignment="0" applyProtection="0"/>
    <xf numFmtId="180" fontId="1" fillId="0" borderId="0" applyFont="0" applyFill="0" applyBorder="0" applyAlignment="0" applyProtection="0"/>
    <xf numFmtId="9" fontId="1" fillId="0" borderId="0" applyFont="0" applyFill="0" applyBorder="0" applyAlignment="0" applyProtection="0"/>
    <xf numFmtId="0" fontId="6" fillId="0" borderId="0" applyNumberFormat="0" applyFill="0" applyBorder="0" applyAlignment="0" applyProtection="0"/>
    <xf numFmtId="0" fontId="7" fillId="0" borderId="14" applyNumberFormat="0" applyFill="0" applyAlignment="0" applyProtection="0"/>
    <xf numFmtId="0" fontId="8" fillId="0" borderId="15" applyNumberFormat="0" applyFill="0" applyAlignment="0" applyProtection="0"/>
    <xf numFmtId="0" fontId="8" fillId="0" borderId="0" applyNumberFormat="0" applyFill="0" applyBorder="0" applyAlignment="0" applyProtection="0"/>
    <xf numFmtId="0" fontId="3" fillId="7" borderId="0" applyNumberFormat="0" applyBorder="0" applyAlignment="0" applyProtection="0"/>
    <xf numFmtId="0" fontId="4" fillId="8" borderId="0" applyNumberFormat="0" applyBorder="0" applyAlignment="0" applyProtection="0"/>
    <xf numFmtId="0" fontId="20" fillId="9" borderId="0" applyNumberFormat="0" applyBorder="0" applyAlignment="0" applyProtection="0"/>
    <xf numFmtId="0" fontId="18" fillId="10" borderId="16" applyNumberFormat="0" applyAlignment="0" applyProtection="0"/>
    <xf numFmtId="0" fontId="19" fillId="11" borderId="17" applyNumberFormat="0" applyAlignment="0" applyProtection="0"/>
    <xf numFmtId="0" fontId="16" fillId="11" borderId="16" applyNumberFormat="0" applyAlignment="0" applyProtection="0"/>
    <xf numFmtId="0" fontId="21" fillId="0" borderId="18" applyNumberFormat="0" applyFill="0" applyAlignment="0" applyProtection="0"/>
    <xf numFmtId="0" fontId="9" fillId="12" borderId="19" applyNumberFormat="0" applyAlignment="0" applyProtection="0"/>
    <xf numFmtId="0" fontId="15" fillId="0" borderId="0" applyNumberFormat="0" applyFill="0" applyBorder="0" applyAlignment="0" applyProtection="0"/>
    <xf numFmtId="0" fontId="1" fillId="13" borderId="1" applyNumberFormat="0" applyFont="0" applyAlignment="0" applyProtection="0"/>
    <xf numFmtId="0" fontId="14" fillId="0" borderId="0" applyNumberFormat="0" applyFill="0" applyBorder="0" applyAlignment="0" applyProtection="0"/>
    <xf numFmtId="0" fontId="13" fillId="0" borderId="20" applyNumberFormat="0" applyFill="0" applyAlignment="0" applyProtection="0"/>
    <xf numFmtId="0" fontId="2"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cellStyleXfs>
  <cellXfs count="113">
    <xf numFmtId="0" fontId="0" fillId="0" borderId="0" xfId="0"/>
    <xf numFmtId="0" fontId="24" fillId="2" borderId="0" xfId="3" applyFont="1">
      <alignment horizontal="left" indent="1"/>
    </xf>
    <xf numFmtId="0" fontId="22" fillId="0" borderId="0" xfId="2" applyFont="1"/>
    <xf numFmtId="0" fontId="25" fillId="2" borderId="0" xfId="4" applyFont="1">
      <alignment horizontal="left" wrapText="1" indent="4"/>
    </xf>
    <xf numFmtId="0" fontId="26" fillId="2" borderId="0" xfId="5" applyFont="1">
      <alignment horizontal="left" wrapText="1" indent="4"/>
    </xf>
    <xf numFmtId="0" fontId="27" fillId="0" borderId="0" xfId="6" applyFont="1"/>
    <xf numFmtId="0" fontId="22" fillId="0" borderId="0" xfId="15" applyFont="1"/>
    <xf numFmtId="0" fontId="28" fillId="0" borderId="0" xfId="15" applyFont="1"/>
    <xf numFmtId="0" fontId="29" fillId="0" borderId="0" xfId="15" applyFont="1"/>
    <xf numFmtId="0" fontId="29" fillId="0" borderId="0" xfId="15" applyFont="1" applyAlignment="1">
      <alignment vertical="center"/>
    </xf>
    <xf numFmtId="0" fontId="27" fillId="0" borderId="0" xfId="6" applyFont="1" applyAlignment="1">
      <alignment wrapText="1"/>
    </xf>
    <xf numFmtId="0" fontId="27" fillId="0" borderId="0" xfId="0" applyFont="1"/>
    <xf numFmtId="0" fontId="22" fillId="0" borderId="0" xfId="0" applyFont="1"/>
    <xf numFmtId="0" fontId="30" fillId="0" borderId="0" xfId="0" applyFont="1" applyAlignment="1">
      <alignment horizontal="centerContinuous" vertical="center"/>
    </xf>
    <xf numFmtId="0" fontId="22" fillId="0" borderId="0" xfId="0" applyFont="1" applyAlignment="1">
      <alignment horizontal="centerContinuous" vertical="center"/>
    </xf>
    <xf numFmtId="0" fontId="22" fillId="0" borderId="0" xfId="0" applyFont="1" applyAlignment="1">
      <alignment horizontal="center" vertical="center"/>
    </xf>
    <xf numFmtId="0" fontId="31" fillId="3" borderId="0" xfId="7" applyFont="1"/>
    <xf numFmtId="0" fontId="31" fillId="3" borderId="0" xfId="7" applyFont="1" applyAlignment="1">
      <alignment horizontal="right"/>
    </xf>
    <xf numFmtId="0" fontId="22" fillId="4" borderId="6" xfId="8" applyFont="1" applyBorder="1"/>
    <xf numFmtId="0" fontId="22" fillId="4" borderId="6" xfId="8" applyFont="1" applyBorder="1" applyAlignment="1">
      <alignment horizontal="right"/>
    </xf>
    <xf numFmtId="0" fontId="27" fillId="0" borderId="0" xfId="0" applyFont="1" applyAlignment="1">
      <alignment wrapText="1"/>
    </xf>
    <xf numFmtId="0" fontId="22" fillId="0" borderId="0" xfId="2" applyFont="1" applyAlignment="1">
      <alignment horizontal="left"/>
    </xf>
    <xf numFmtId="0" fontId="22" fillId="4" borderId="2" xfId="10" applyFont="1" applyAlignment="1">
      <alignment horizontal="left"/>
    </xf>
    <xf numFmtId="0" fontId="22" fillId="5" borderId="1" xfId="9" applyFont="1" applyAlignment="1">
      <alignment horizontal="right"/>
    </xf>
    <xf numFmtId="0" fontId="22" fillId="0" borderId="0" xfId="0" applyFont="1" applyAlignment="1">
      <alignment horizontal="centerContinuous"/>
    </xf>
    <xf numFmtId="0" fontId="22" fillId="4" borderId="0" xfId="8" applyFont="1"/>
    <xf numFmtId="0" fontId="22" fillId="4" borderId="0" xfId="8" applyFont="1" applyAlignment="1">
      <alignment horizontal="right"/>
    </xf>
    <xf numFmtId="0" fontId="22" fillId="0" borderId="0" xfId="2" applyFont="1" applyAlignment="1">
      <alignment horizontal="centerContinuous"/>
    </xf>
    <xf numFmtId="0" fontId="27" fillId="3" borderId="0" xfId="7" applyFont="1"/>
    <xf numFmtId="0" fontId="27" fillId="3" borderId="0" xfId="7" applyFont="1" applyAlignment="1">
      <alignment horizontal="right"/>
    </xf>
    <xf numFmtId="0" fontId="22" fillId="0" borderId="0" xfId="2" applyFont="1" applyAlignment="1">
      <alignment horizontal="right"/>
    </xf>
    <xf numFmtId="0" fontId="32" fillId="0" borderId="0" xfId="0" applyFont="1"/>
    <xf numFmtId="0" fontId="33" fillId="0" borderId="0" xfId="0" applyFont="1"/>
    <xf numFmtId="0" fontId="32" fillId="0" borderId="0" xfId="0" applyFont="1" applyAlignment="1">
      <alignment horizontal="center"/>
    </xf>
    <xf numFmtId="0" fontId="34" fillId="0" borderId="0" xfId="2" applyFont="1" applyAlignment="1">
      <alignment horizontal="left"/>
    </xf>
    <xf numFmtId="0" fontId="32" fillId="0" borderId="0" xfId="0" applyFont="1" applyAlignment="1">
      <alignment horizontal="left" indent="1"/>
    </xf>
    <xf numFmtId="0" fontId="27" fillId="0" borderId="0" xfId="0" quotePrefix="1" applyFont="1"/>
    <xf numFmtId="0" fontId="22" fillId="0" borderId="0" xfId="2" applyFont="1" applyAlignment="1">
      <alignment horizontal="left" indent="1"/>
    </xf>
    <xf numFmtId="0" fontId="32" fillId="0" borderId="0" xfId="0" applyFont="1" applyAlignment="1">
      <alignment horizontal="left" indent="2"/>
    </xf>
    <xf numFmtId="0" fontId="34" fillId="0" borderId="0" xfId="2" applyFont="1" applyAlignment="1">
      <alignment horizontal="right"/>
    </xf>
    <xf numFmtId="0" fontId="22" fillId="4" borderId="2" xfId="10" applyFont="1"/>
    <xf numFmtId="0" fontId="22" fillId="5" borderId="1" xfId="9" applyFont="1" applyAlignment="1">
      <alignment horizontal="right" vertical="center"/>
    </xf>
    <xf numFmtId="0" fontId="22" fillId="0" borderId="0" xfId="2" applyFont="1" applyAlignment="1">
      <alignment horizontal="center"/>
    </xf>
    <xf numFmtId="0" fontId="22" fillId="0" borderId="0" xfId="2" quotePrefix="1" applyFont="1" applyAlignment="1">
      <alignment horizontal="left"/>
    </xf>
    <xf numFmtId="0" fontId="22" fillId="0" borderId="0" xfId="2" applyFont="1" applyAlignment="1">
      <alignment horizontal="left" indent="2"/>
    </xf>
    <xf numFmtId="0" fontId="27" fillId="0" borderId="0" xfId="2" applyFont="1" applyAlignment="1">
      <alignment horizontal="left"/>
    </xf>
    <xf numFmtId="0" fontId="27" fillId="0" borderId="0" xfId="2" applyFont="1" applyAlignment="1">
      <alignment horizontal="left" wrapText="1"/>
    </xf>
    <xf numFmtId="0" fontId="22" fillId="4" borderId="0" xfId="12" applyFont="1"/>
    <xf numFmtId="0" fontId="22" fillId="0" borderId="0" xfId="11" applyFont="1" applyAlignment="1">
      <alignment horizontal="left" indent="1"/>
    </xf>
    <xf numFmtId="0" fontId="22" fillId="4" borderId="2" xfId="14" applyFont="1"/>
    <xf numFmtId="0" fontId="30" fillId="0" borderId="0" xfId="0" applyFont="1" applyAlignment="1">
      <alignment horizontal="center" vertical="center"/>
    </xf>
    <xf numFmtId="0" fontId="22" fillId="0" borderId="0" xfId="0" applyFont="1" applyAlignment="1">
      <alignment horizontal="center"/>
    </xf>
    <xf numFmtId="0" fontId="31" fillId="3" borderId="0" xfId="7" applyFont="1" applyAlignment="1">
      <alignment horizontal="left"/>
    </xf>
    <xf numFmtId="0" fontId="22" fillId="4" borderId="6" xfId="8" applyFont="1" applyBorder="1" applyAlignment="1">
      <alignment horizontal="left"/>
    </xf>
    <xf numFmtId="0" fontId="30" fillId="0" borderId="0" xfId="0" applyFont="1" applyAlignment="1">
      <alignment horizontal="center" vertical="center" wrapText="1"/>
    </xf>
    <xf numFmtId="0" fontId="22" fillId="0" borderId="0" xfId="0" applyFont="1" applyAlignment="1">
      <alignment horizontal="center" wrapText="1"/>
    </xf>
    <xf numFmtId="0" fontId="27" fillId="0" borderId="0" xfId="6" applyFont="1" applyAlignment="1">
      <alignment horizontal="centerContinuous"/>
    </xf>
    <xf numFmtId="0" fontId="22" fillId="0" borderId="0" xfId="0" applyFont="1" applyAlignment="1">
      <alignment vertical="center"/>
    </xf>
    <xf numFmtId="0" fontId="22" fillId="4" borderId="1" xfId="8" applyFont="1" applyBorder="1"/>
    <xf numFmtId="0" fontId="22" fillId="4" borderId="2" xfId="10" applyFont="1" applyAlignment="1">
      <alignment horizontal="center" vertical="center"/>
    </xf>
    <xf numFmtId="14" fontId="22" fillId="0" borderId="0" xfId="0" applyNumberFormat="1" applyFont="1"/>
    <xf numFmtId="0" fontId="31" fillId="3" borderId="4" xfId="7" applyFont="1" applyBorder="1" applyAlignment="1">
      <alignment horizontal="left" vertical="center"/>
    </xf>
    <xf numFmtId="0" fontId="31" fillId="3" borderId="4" xfId="7" applyFont="1" applyBorder="1" applyAlignment="1">
      <alignment horizontal="right" vertical="center"/>
    </xf>
    <xf numFmtId="0" fontId="22" fillId="6" borderId="4" xfId="0" applyFont="1" applyFill="1" applyBorder="1" applyAlignment="1">
      <alignment vertical="center"/>
    </xf>
    <xf numFmtId="181" fontId="22" fillId="6" borderId="4" xfId="0" applyNumberFormat="1" applyFont="1" applyFill="1" applyBorder="1" applyAlignment="1">
      <alignment vertical="center"/>
    </xf>
    <xf numFmtId="0" fontId="22" fillId="0" borderId="3" xfId="0" applyFont="1" applyBorder="1" applyAlignment="1">
      <alignment vertical="center"/>
    </xf>
    <xf numFmtId="181" fontId="22" fillId="0" borderId="3" xfId="0" applyNumberFormat="1" applyFont="1" applyBorder="1" applyAlignment="1">
      <alignment vertical="center"/>
    </xf>
    <xf numFmtId="181" fontId="22" fillId="0" borderId="0" xfId="0" applyNumberFormat="1" applyFont="1" applyAlignment="1">
      <alignment vertical="center"/>
    </xf>
    <xf numFmtId="181" fontId="22" fillId="5" borderId="1" xfId="9" applyNumberFormat="1" applyFont="1" applyAlignment="1">
      <alignment vertical="center"/>
    </xf>
    <xf numFmtId="0" fontId="22" fillId="5" borderId="10" xfId="9" applyFont="1" applyBorder="1"/>
    <xf numFmtId="0" fontId="22" fillId="5" borderId="1" xfId="9" applyFont="1"/>
    <xf numFmtId="178" fontId="22" fillId="5" borderId="10" xfId="9" applyNumberFormat="1" applyFont="1" applyBorder="1" applyAlignment="1">
      <alignment horizontal="right"/>
    </xf>
    <xf numFmtId="0" fontId="35" fillId="0" borderId="0" xfId="0" applyFont="1"/>
    <xf numFmtId="0" fontId="22" fillId="4" borderId="11" xfId="10" applyFont="1" applyBorder="1"/>
    <xf numFmtId="178" fontId="22" fillId="4" borderId="11" xfId="10" applyNumberFormat="1" applyFont="1" applyBorder="1"/>
    <xf numFmtId="178" fontId="22" fillId="4" borderId="6" xfId="8" applyNumberFormat="1" applyFont="1" applyBorder="1"/>
    <xf numFmtId="0" fontId="36" fillId="0" borderId="0" xfId="6" applyFont="1"/>
    <xf numFmtId="0" fontId="36" fillId="0" borderId="0" xfId="0" applyFont="1"/>
    <xf numFmtId="0" fontId="27" fillId="3" borderId="0" xfId="7" applyFont="1" applyAlignment="1">
      <alignment horizontal="left"/>
    </xf>
    <xf numFmtId="0" fontId="36" fillId="0" borderId="0" xfId="0" applyFont="1" applyAlignment="1">
      <alignment wrapText="1"/>
    </xf>
    <xf numFmtId="0" fontId="36" fillId="0" borderId="0" xfId="2" applyFont="1" applyAlignment="1">
      <alignment horizontal="left" wrapText="1"/>
    </xf>
    <xf numFmtId="0" fontId="22" fillId="5" borderId="7" xfId="9" applyFont="1" applyBorder="1" applyAlignment="1">
      <alignment horizontal="right"/>
    </xf>
    <xf numFmtId="0" fontId="36" fillId="0" borderId="0" xfId="2" applyFont="1" applyAlignment="1">
      <alignment horizontal="left"/>
    </xf>
    <xf numFmtId="0" fontId="37" fillId="0" borderId="0" xfId="0" applyFont="1"/>
    <xf numFmtId="0" fontId="38" fillId="0" borderId="0" xfId="11" applyFont="1"/>
    <xf numFmtId="0" fontId="22" fillId="0" borderId="0" xfId="11" applyFont="1" applyAlignment="1">
      <alignment horizontal="centerContinuous"/>
    </xf>
    <xf numFmtId="0" fontId="22" fillId="0" borderId="0" xfId="11" applyFont="1"/>
    <xf numFmtId="0" fontId="39" fillId="0" borderId="0" xfId="11" applyFont="1"/>
    <xf numFmtId="0" fontId="22" fillId="4" borderId="6" xfId="12" applyFont="1" applyBorder="1"/>
    <xf numFmtId="0" fontId="22" fillId="0" borderId="0" xfId="11" applyFont="1" applyAlignment="1">
      <alignment horizontal="left"/>
    </xf>
    <xf numFmtId="0" fontId="39" fillId="0" borderId="0" xfId="11" applyFont="1" applyAlignment="1">
      <alignment horizontal="left"/>
    </xf>
    <xf numFmtId="0" fontId="22" fillId="4" borderId="8" xfId="12" applyFont="1" applyBorder="1"/>
    <xf numFmtId="0" fontId="34" fillId="0" borderId="9" xfId="11" applyFont="1" applyBorder="1" applyAlignment="1">
      <alignment horizontal="left"/>
    </xf>
    <xf numFmtId="0" fontId="22" fillId="5" borderId="10" xfId="13" applyFont="1" applyBorder="1"/>
    <xf numFmtId="0" fontId="27" fillId="0" borderId="0" xfId="11" applyFont="1" applyAlignment="1">
      <alignment horizontal="left" wrapText="1"/>
    </xf>
    <xf numFmtId="0" fontId="22" fillId="5" borderId="7" xfId="13" applyFont="1" applyBorder="1"/>
    <xf numFmtId="0" fontId="22" fillId="5" borderId="1" xfId="13" applyFont="1" applyAlignment="1">
      <alignment horizontal="right"/>
    </xf>
    <xf numFmtId="0" fontId="22" fillId="5" borderId="1" xfId="13" applyFont="1"/>
    <xf numFmtId="0" fontId="27" fillId="3" borderId="0" xfId="7" applyFont="1" applyAlignment="1">
      <alignment horizontal="center" vertical="center"/>
    </xf>
    <xf numFmtId="0" fontId="22" fillId="4" borderId="6" xfId="17" applyFont="1" applyBorder="1" applyAlignment="1">
      <alignment horizontal="left"/>
    </xf>
    <xf numFmtId="0" fontId="22" fillId="5" borderId="5" xfId="18" applyFont="1" applyBorder="1"/>
    <xf numFmtId="0" fontId="40" fillId="0" borderId="0" xfId="0" applyFont="1"/>
    <xf numFmtId="0" fontId="22" fillId="4" borderId="0" xfId="17" applyFont="1"/>
    <xf numFmtId="0" fontId="22" fillId="5" borderId="1" xfId="18" applyFont="1"/>
    <xf numFmtId="0" fontId="41" fillId="0" borderId="0" xfId="16" applyFont="1"/>
    <xf numFmtId="182" fontId="22" fillId="5" borderId="10" xfId="9" applyNumberFormat="1" applyFont="1" applyBorder="1"/>
    <xf numFmtId="182" fontId="22" fillId="4" borderId="6" xfId="8" applyNumberFormat="1" applyFont="1" applyBorder="1"/>
    <xf numFmtId="182" fontId="22" fillId="5" borderId="10" xfId="9" applyNumberFormat="1" applyFont="1" applyBorder="1" applyAlignment="1">
      <alignment horizontal="right"/>
    </xf>
    <xf numFmtId="183" fontId="22" fillId="5" borderId="10" xfId="9" applyNumberFormat="1" applyFont="1" applyBorder="1" applyAlignment="1">
      <alignment horizontal="right"/>
    </xf>
    <xf numFmtId="0" fontId="31" fillId="3" borderId="0" xfId="7" applyFont="1" applyAlignment="1">
      <alignment horizontal="center"/>
    </xf>
    <xf numFmtId="0" fontId="31" fillId="3" borderId="12" xfId="7" applyFont="1" applyBorder="1" applyAlignment="1">
      <alignment horizontal="center"/>
    </xf>
    <xf numFmtId="0" fontId="31" fillId="3" borderId="13" xfId="7" applyFont="1" applyBorder="1" applyAlignment="1">
      <alignment horizontal="center"/>
    </xf>
    <xf numFmtId="0" fontId="31" fillId="3" borderId="13" xfId="7" applyFont="1" applyBorder="1" applyAlignment="1">
      <alignment horizontal="center" vertical="center"/>
    </xf>
  </cellXfs>
  <cellStyles count="66">
    <cellStyle name="20% - 輔色1" xfId="43" builtinId="30" customBuiltin="1"/>
    <cellStyle name="20% - 輔色2" xfId="47" builtinId="34" customBuiltin="1"/>
    <cellStyle name="20% - 輔色3" xfId="51" builtinId="38" customBuiltin="1"/>
    <cellStyle name="20% - 輔色4" xfId="55" builtinId="42" customBuiltin="1"/>
    <cellStyle name="20% - 輔色5" xfId="59" builtinId="46" customBuiltin="1"/>
    <cellStyle name="20% - 輔色6" xfId="63" builtinId="50" customBuiltin="1"/>
    <cellStyle name="40% - 輔色1" xfId="44" builtinId="31" customBuiltin="1"/>
    <cellStyle name="40% - 輔色2" xfId="48" builtinId="35" customBuiltin="1"/>
    <cellStyle name="40% - 輔色3" xfId="52" builtinId="39" customBuiltin="1"/>
    <cellStyle name="40% - 輔色4" xfId="56" builtinId="43" customBuiltin="1"/>
    <cellStyle name="40% - 輔色5" xfId="60" builtinId="47" customBuiltin="1"/>
    <cellStyle name="40% - 輔色6" xfId="64" builtinId="51" customBuiltin="1"/>
    <cellStyle name="60% - 輔色1" xfId="45" builtinId="32" customBuiltin="1"/>
    <cellStyle name="60% - 輔色2" xfId="49" builtinId="36" customBuiltin="1"/>
    <cellStyle name="60% - 輔色3" xfId="53" builtinId="40" customBuiltin="1"/>
    <cellStyle name="60% - 輔色4" xfId="57" builtinId="44" customBuiltin="1"/>
    <cellStyle name="60% - 輔色5" xfId="61" builtinId="48" customBuiltin="1"/>
    <cellStyle name="60% - 輔色6" xfId="65" builtinId="52" customBuiltin="1"/>
    <cellStyle name="z A 欄文字" xfId="6" xr:uid="{00000000-0005-0000-0000-000013000000}"/>
    <cellStyle name="一般" xfId="0" builtinId="0" customBuiltin="1"/>
    <cellStyle name="一般 2" xfId="2" xr:uid="{00000000-0005-0000-0000-000008000000}"/>
    <cellStyle name="一般 2 2" xfId="15" xr:uid="{00000000-0005-0000-0000-000009000000}"/>
    <cellStyle name="一般 3" xfId="11" xr:uid="{00000000-0005-0000-0000-00000A000000}"/>
    <cellStyle name="千分位" xfId="21" builtinId="3" customBuiltin="1"/>
    <cellStyle name="千分位[0]" xfId="22" builtinId="6" customBuiltin="1"/>
    <cellStyle name="已瀏覽過的超連結" xfId="20" builtinId="9" customBuiltin="1"/>
    <cellStyle name="中等" xfId="32" builtinId="28" customBuiltin="1"/>
    <cellStyle name="合計" xfId="41" builtinId="25" customBuiltin="1"/>
    <cellStyle name="好" xfId="30" builtinId="26" customBuiltin="1"/>
    <cellStyle name="灰色儲存格" xfId="8" xr:uid="{00000000-0005-0000-0000-000000000000}"/>
    <cellStyle name="灰色儲存格 2" xfId="12" xr:uid="{00000000-0005-0000-0000-000001000000}"/>
    <cellStyle name="灰色儲存格 2 2" xfId="17" xr:uid="{00000000-0005-0000-0000-000002000000}"/>
    <cellStyle name="百分比" xfId="25" builtinId="5" customBuiltin="1"/>
    <cellStyle name="計算方式" xfId="35" builtinId="22" customBuiltin="1"/>
    <cellStyle name="貨幣" xfId="23" builtinId="4" customBuiltin="1"/>
    <cellStyle name="貨幣 [0]" xfId="24" builtinId="7" customBuiltin="1"/>
    <cellStyle name="連結的儲存格" xfId="36" builtinId="24" customBuiltin="1"/>
    <cellStyle name="備註" xfId="39" builtinId="10" customBuiltin="1"/>
    <cellStyle name="超連結" xfId="16" builtinId="8" customBuiltin="1"/>
    <cellStyle name="開始文字" xfId="1" xr:uid="{00000000-0005-0000-0000-00000E000000}"/>
    <cellStyle name="黃色儲存格" xfId="9" xr:uid="{00000000-0005-0000-0000-000010000000}"/>
    <cellStyle name="黃色儲存格 2" xfId="13" xr:uid="{00000000-0005-0000-0000-000011000000}"/>
    <cellStyle name="黃色儲存格 2 2" xfId="18" xr:uid="{00000000-0005-0000-0000-000012000000}"/>
    <cellStyle name="說明文字" xfId="40" builtinId="53" customBuiltin="1"/>
    <cellStyle name="輔色1" xfId="42" builtinId="29" customBuiltin="1"/>
    <cellStyle name="輔色2" xfId="46" builtinId="33" customBuiltin="1"/>
    <cellStyle name="輔色3" xfId="50" builtinId="37" customBuiltin="1"/>
    <cellStyle name="輔色4" xfId="54" builtinId="41" customBuiltin="1"/>
    <cellStyle name="輔色5" xfId="58" builtinId="45" customBuiltin="1"/>
    <cellStyle name="輔色6" xfId="62" builtinId="49" customBuiltin="1"/>
    <cellStyle name="標題" xfId="26" builtinId="15" customBuiltin="1"/>
    <cellStyle name="標題 1" xfId="27" builtinId="16" customBuiltin="1"/>
    <cellStyle name="標題 1 2" xfId="4" xr:uid="{00000000-0005-0000-0000-000003000000}"/>
    <cellStyle name="標題 2" xfId="3" builtinId="17" customBuiltin="1"/>
    <cellStyle name="標題 2 2" xfId="5" xr:uid="{00000000-0005-0000-0000-000004000000}"/>
    <cellStyle name="標題 3" xfId="28" builtinId="18" customBuiltin="1"/>
    <cellStyle name="標題 3 2" xfId="7" xr:uid="{00000000-0005-0000-0000-000005000000}"/>
    <cellStyle name="標題 4" xfId="29" builtinId="19" customBuiltin="1"/>
    <cellStyle name="橘色框線" xfId="10" xr:uid="{00000000-0005-0000-0000-00000B000000}"/>
    <cellStyle name="橘色框線 2" xfId="14" xr:uid="{00000000-0005-0000-0000-00000C000000}"/>
    <cellStyle name="橘色框線 3" xfId="19" xr:uid="{00000000-0005-0000-0000-00000D000000}"/>
    <cellStyle name="輸入" xfId="33" builtinId="20" customBuiltin="1"/>
    <cellStyle name="輸出" xfId="34" builtinId="21" customBuiltin="1"/>
    <cellStyle name="檢查儲存格" xfId="37" builtinId="23" customBuiltin="1"/>
    <cellStyle name="壞" xfId="31" builtinId="27" customBuiltin="1"/>
    <cellStyle name="警告文字" xfId="38" builtinId="11" customBuiltin="1"/>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22522;&#26412;&#21151;&#33021;'!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18" Type="http://schemas.openxmlformats.org/officeDocument/2006/relationships/image" Target="../media/image11.png"/><Relationship Id="rId3" Type="http://schemas.openxmlformats.org/officeDocument/2006/relationships/hyperlink" Target="#'&#38283;&#22987;'!A1"/><Relationship Id="rId7" Type="http://schemas.openxmlformats.org/officeDocument/2006/relationships/image" Target="../media/image4.png"/><Relationship Id="rId12" Type="http://schemas.openxmlformats.org/officeDocument/2006/relationships/hyperlink" Target="https://support.office.com/zh-TW/article/excel-for-windows-training-9bc05390-e94c-46af-a5b3-d7c22f6990bb?ui=zh-TW&amp;rs=en-001&amp;ad=us" TargetMode="External"/><Relationship Id="rId17" Type="http://schemas.openxmlformats.org/officeDocument/2006/relationships/image" Target="../media/image10.png"/><Relationship Id="rId2" Type="http://schemas.openxmlformats.org/officeDocument/2006/relationships/hyperlink" Target="#'&#20989;&#25976;&#31777;&#20171;'!A1"/><Relationship Id="rId16" Type="http://schemas.openxmlformats.org/officeDocument/2006/relationships/image" Target="../media/image9.svg"/><Relationship Id="rId1" Type="http://schemas.openxmlformats.org/officeDocument/2006/relationships/hyperlink" Target="#'&#22522;&#26412;&#21151;&#33021;'!A60"/><Relationship Id="rId6" Type="http://schemas.openxmlformats.org/officeDocument/2006/relationships/hyperlink" Target="https://support.office.com/zh-tw/article/use-excel-as-your-calculator-a1abc057-ed11-443a-a635-68216555ad0a?ui=zh-tw&amp;rs=zh-001&amp;ad=tw" TargetMode="External"/><Relationship Id="rId11" Type="http://schemas.openxmlformats.org/officeDocument/2006/relationships/hyperlink" Target="https://support.office.com/zh-TW/article/excel-functions-alphabetical-b3944572-255d-4efb-bb96-c6d90033e188?ui=zh-TW&amp;rs=en-001&amp;ad=us"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support.office.com/zh-TW/article/excel-functions-by-category-5f91f4e9-7b42-46d2-9bd1-63f26a86c0eb?ui=zh-TW&amp;rs=en-001&amp;ad=us" TargetMode="External"/><Relationship Id="rId19" Type="http://schemas.openxmlformats.org/officeDocument/2006/relationships/image" Target="../media/image12.png"/><Relationship Id="rId4" Type="http://schemas.openxmlformats.org/officeDocument/2006/relationships/image" Target="../media/image2.png"/><Relationship Id="rId9" Type="http://schemas.openxmlformats.org/officeDocument/2006/relationships/hyperlink" Target="https://support.office.com/zh-TW/article/overview-of-formulas-in-excel-ecfdc708-9162-49e8-b993-c311f47ca173?ui=zh-TW&amp;rs=en-001&amp;ad=us"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support.office.com/zh-TW/article/excel-for-windows-training-9bc05390-e94c-46af-a5b3-d7c22f6990bb?ui=zh-TW&amp;rs=en-001&amp;ad=us" TargetMode="External"/><Relationship Id="rId13" Type="http://schemas.openxmlformats.org/officeDocument/2006/relationships/image" Target="../media/image7.svg"/><Relationship Id="rId3" Type="http://schemas.openxmlformats.org/officeDocument/2006/relationships/hyperlink" Target="https://support.office.com/zh-TW/article/sum-function-043e1c7d-7726-4e80-8f32-07b23e057f89?ui=zh-TW&amp;rs=en-001&amp;ad=us" TargetMode="External"/><Relationship Id="rId7" Type="http://schemas.openxmlformats.org/officeDocument/2006/relationships/hyperlink" Target="https://support.office.com/zh-TW/article/count-function-a59cd7fc-b623-4d93-87a4-d23bf411294c?ui=zh-TW&amp;rs=en-001&amp;ad=us" TargetMode="External"/><Relationship Id="rId12" Type="http://schemas.openxmlformats.org/officeDocument/2006/relationships/image" Target="../media/image6.png"/><Relationship Id="rId17" Type="http://schemas.openxmlformats.org/officeDocument/2006/relationships/hyperlink" Target="#'&#20989;&#25976;&#31777;&#20171;'!A63"/><Relationship Id="rId2" Type="http://schemas.openxmlformats.org/officeDocument/2006/relationships/hyperlink" Target="#AVERAGE!A1"/><Relationship Id="rId16" Type="http://schemas.openxmlformats.org/officeDocument/2006/relationships/image" Target="../media/image16.png"/><Relationship Id="rId1" Type="http://schemas.openxmlformats.org/officeDocument/2006/relationships/hyperlink" Target="#'&#20989;&#25976;&#31777;&#20171;'!A1"/><Relationship Id="rId6" Type="http://schemas.openxmlformats.org/officeDocument/2006/relationships/hyperlink" Target="https://support.office.com/zh-TW/article/use-autosum-to-sum-numbers-543941e7-e783-44ef-8317-7d1bb85fe706?ui=zh-TW&amp;rs=en-001&amp;ad=us" TargetMode="External"/><Relationship Id="rId11" Type="http://schemas.openxmlformats.org/officeDocument/2006/relationships/image" Target="../media/image15.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4.svg"/><Relationship Id="rId4" Type="http://schemas.openxmlformats.org/officeDocument/2006/relationships/image" Target="../media/image4.png"/><Relationship Id="rId9" Type="http://schemas.openxmlformats.org/officeDocument/2006/relationships/image" Target="../media/image13.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zh-TW/article/median-function-d0916313-4753-414c-8537-ce85bdd967d2?ui=zh-TW&amp;rs=en-001&amp;ad=us" TargetMode="External"/><Relationship Id="rId3" Type="http://schemas.openxmlformats.org/officeDocument/2006/relationships/hyperlink" Target="#'&#20989;&#25976;&#31777;&#20171;'!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support.office.com/zh-TW/article/average-function-047bac88-d466-426c-a32b-8f33eb960cf6?ui=zh-TW&amp;rs=en-001&amp;ad=us" TargetMode="External"/><Relationship Id="rId10" Type="http://schemas.openxmlformats.org/officeDocument/2006/relationships/hyperlink" Target="https://support.office.com/zh-TW/article/excel-for-windows-training-9bc05390-e94c-46af-a5b3-d7c22f6990bb?ui=zh-TW&amp;rs=en-001&amp;ad=us" TargetMode="External"/><Relationship Id="rId4" Type="http://schemas.openxmlformats.org/officeDocument/2006/relationships/hyperlink" Target="#'MIN &#21644; MAX'!A1"/><Relationship Id="rId9" Type="http://schemas.openxmlformats.org/officeDocument/2006/relationships/hyperlink" Target="https://support.office.com/zh-TW/article/mode-function-e45192ce-9122-4980-82ed-4bdc34973120?ocmsassetid=e45192ce-9122-4980-82ed-4bdc34973120&amp;ui=zh-TW&amp;rs=en-001&amp;ad=us"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support.office.com/zh-TW/article/min-function-61635d12-920f-4ce2-a70f-96f202dcc152?ui=zh-TW&amp;rs=en-001&amp;ad=us" TargetMode="External"/><Relationship Id="rId6" Type="http://schemas.openxmlformats.org/officeDocument/2006/relationships/image" Target="../media/image8.png"/><Relationship Id="rId5" Type="http://schemas.openxmlformats.org/officeDocument/2006/relationships/hyperlink" Target="https://support.office.com/zh-TW/article/excel-for-windows-training-9bc05390-e94c-46af-a5b3-d7c22f6990bb?ui=zh-TW&amp;rs=en-001&amp;ad=us" TargetMode="External"/><Relationship Id="rId4" Type="http://schemas.openxmlformats.org/officeDocument/2006/relationships/hyperlink" Target="https://support.office.com/zh-TW/article/max-function-e0012414-9ac8-4b34-9a47-73e662c08098?ui=zh-TW&amp;rs=en-001&amp;ad=us" TargetMode="External"/><Relationship Id="rId9" Type="http://schemas.openxmlformats.org/officeDocument/2006/relationships/hyperlink" Target="#'&#26085;&#26399;&#21644;&#26178;&#38291;'!A1"/></Relationships>
</file>

<file path=xl/drawings/_rels/drawing6.xml.rels><?xml version="1.0" encoding="UTF-8" standalone="yes"?>
<Relationships xmlns="http://schemas.openxmlformats.org/package/2006/relationships"><Relationship Id="rId8" Type="http://schemas.openxmlformats.org/officeDocument/2006/relationships/hyperlink" Target="https://support.office.com/zh-TW/article/now-function-3337fd29-145a-4347-b2e6-20c904739c46?ui=zh-TW&amp;rs=en-001&amp;ad=us" TargetMode="External"/><Relationship Id="rId3" Type="http://schemas.openxmlformats.org/officeDocument/2006/relationships/hyperlink" Target="#'MIN &#21644; MAX'!A1"/><Relationship Id="rId7" Type="http://schemas.openxmlformats.org/officeDocument/2006/relationships/image" Target="../media/image5.svg"/><Relationship Id="rId12" Type="http://schemas.openxmlformats.org/officeDocument/2006/relationships/image" Target="../media/image14.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3.png"/><Relationship Id="rId5" Type="http://schemas.openxmlformats.org/officeDocument/2006/relationships/hyperlink" Target="https://support.office.com/zh-TW/article/today-function-5eb3078d-a82c-4736-8930-2f51a028fdd9?ui=zh-TW&amp;rs=en-001&amp;ad=us" TargetMode="External"/><Relationship Id="rId10" Type="http://schemas.openxmlformats.org/officeDocument/2006/relationships/hyperlink" Target="https://support.office.com/zh-TW/article/date-function-e36c0c8c-4104-49da-ab83-82328b832349?ui=zh-TW&amp;rs=en-001&amp;ad=us" TargetMode="External"/><Relationship Id="rId4" Type="http://schemas.openxmlformats.org/officeDocument/2006/relationships/hyperlink" Target="#'&#21512;&#20341;&#25991;&#23383;&#21644;&#25976;&#20540;'!A1"/><Relationship Id="rId9" Type="http://schemas.openxmlformats.org/officeDocument/2006/relationships/hyperlink" Target="https://support.office.com/zh-TW/article/excel-for-windows-training-9bc05390-e94c-46af-a5b3-d7c22f6990bb?ui=zh-TW&amp;rs=en-001&amp;ad=us"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support.office.com/zh-TW/article/combine-text-and-numbers-a32c8e0e-90a2-435b-8635-5dd2209044ad?ui=zh-TW&amp;rs=en-001&amp;ad=us" TargetMode="External"/><Relationship Id="rId3" Type="http://schemas.openxmlformats.org/officeDocument/2006/relationships/image" Target="../media/image17.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38515;&#36848;&#24335;'!A1"/><Relationship Id="rId1" Type="http://schemas.openxmlformats.org/officeDocument/2006/relationships/hyperlink" Target="#'&#26085;&#26399;&#21644;&#26178;&#38291;'!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support.office.com/zh-TW/article/text-function-20d5ac4d-7b94-49fd-bb38-93d29371225c?ui=zh-TW&amp;rs=en-001&amp;ad=us" TargetMode="External"/><Relationship Id="rId10" Type="http://schemas.openxmlformats.org/officeDocument/2006/relationships/hyperlink" Target="#'&#21512;&#20341;&#25991;&#23383;&#21644;&#25976;&#20540;'!A60"/><Relationship Id="rId4" Type="http://schemas.openxmlformats.org/officeDocument/2006/relationships/image" Target="../media/image18.svg"/><Relationship Id="rId9" Type="http://schemas.openxmlformats.org/officeDocument/2006/relationships/hyperlink" Target="https://support.office.com/zh-TW/article/excel-for-windows-training-9bc05390-e94c-46af-a5b3-d7c22f6990bb?ui=zh-TW&amp;rs=en-001&amp;ad=us"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4.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21.png"/><Relationship Id="rId2" Type="http://schemas.openxmlformats.org/officeDocument/2006/relationships/image" Target="../media/image13.png"/><Relationship Id="rId16" Type="http://schemas.openxmlformats.org/officeDocument/2006/relationships/hyperlink" Target="https://support.office.com/zh-TW/article/if-function-&#8211;-nested-formulas-and-avoiding-pitfalls-0b22ff44-f149-44ba-aeb5-4ef99da241c8?ui=zh-TW&amp;rs=en-001&amp;ad=us" TargetMode="External"/><Relationship Id="rId1" Type="http://schemas.openxmlformats.org/officeDocument/2006/relationships/hyperlink" Target="#VLOOKUP!A1"/><Relationship Id="rId6" Type="http://schemas.openxmlformats.org/officeDocument/2006/relationships/hyperlink" Target="https://support.office.com/zh-tw/article/Define-and-use-names-in-formulas-4D0F13AC-53B7-422E-AFD2-ABD7FF379C64" TargetMode="External"/><Relationship Id="rId11" Type="http://schemas.openxmlformats.org/officeDocument/2006/relationships/hyperlink" Target="https://support.office.com/zh-TW/article/if-function-69aed7c9-4e8a-4755-a9bc-aa8bbff73be2?ui=zh-TW&amp;rs=en-001&amp;ad=us" TargetMode="External"/><Relationship Id="rId5" Type="http://schemas.openxmlformats.org/officeDocument/2006/relationships/image" Target="../media/image20.svg"/><Relationship Id="rId15" Type="http://schemas.openxmlformats.org/officeDocument/2006/relationships/hyperlink" Target="https://support.office.com/zh-TW/article/excel-for-windows-training-9bc05390-e94c-46af-a5b3-d7c22f6990bb?ui=zh-TW&amp;rs=en-001&amp;ad=us" TargetMode="External"/><Relationship Id="rId10" Type="http://schemas.openxmlformats.org/officeDocument/2006/relationships/hyperlink" Target="#'&#21512;&#20341;&#25991;&#23383;&#21644;&#25976;&#20540;'!A1"/><Relationship Id="rId4" Type="http://schemas.openxmlformats.org/officeDocument/2006/relationships/image" Target="../media/image19.png"/><Relationship Id="rId9" Type="http://schemas.openxmlformats.org/officeDocument/2006/relationships/hyperlink" Target="#'IF &#38515;&#36848;&#24335;'!A60"/><Relationship Id="rId14" Type="http://schemas.openxmlformats.org/officeDocument/2006/relationships/hyperlink" Target="https://support.office.com/zh-TW/article/ifs-function-36329a26-37b2-467c-972b-4a39bd951d45?ui=zh-TW&amp;rs=en-001&amp;ad=us"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support.office.com/zh-TW/article/create-a-pivottable-to-analyze-worksheet-data-a9a84538-bfe9-40a9-a8e9-f99134456576?ui=zh-TW&amp;rs=en-001&amp;ad=us" TargetMode="External"/><Relationship Id="rId13" Type="http://schemas.openxmlformats.org/officeDocument/2006/relationships/image" Target="../media/image22.png"/><Relationship Id="rId3" Type="http://schemas.openxmlformats.org/officeDocument/2006/relationships/image" Target="../media/image4.png"/><Relationship Id="rId7" Type="http://schemas.openxmlformats.org/officeDocument/2006/relationships/hyperlink" Target="https://support.office.com/zh-TW/article/iferror-function-c526fd07-caeb-47b8-8bb6-63f3e417f611?ui=zh-TW&amp;rs=en-001&amp;ad=us" TargetMode="External"/><Relationship Id="rId12" Type="http://schemas.openxmlformats.org/officeDocument/2006/relationships/image" Target="../media/image14.svg"/><Relationship Id="rId2" Type="http://schemas.openxmlformats.org/officeDocument/2006/relationships/hyperlink" Target="https://support.office.com/zh-TW/article/vlookup-function-0bbc8083-26fe-4963-8ab8-93a18ad188a1" TargetMode="External"/><Relationship Id="rId1" Type="http://schemas.openxmlformats.org/officeDocument/2006/relationships/hyperlink" Target="#&#26781;&#20214;&#24335;&#20989;&#25976;!A1"/><Relationship Id="rId6" Type="http://schemas.openxmlformats.org/officeDocument/2006/relationships/hyperlink" Target="https://support.office.com/zh-TW/article/excel-for-windows-training-9bc05390-e94c-46af-a5b3-d7c22f6990bb?ui=zh-TW&amp;rs=en-001&amp;ad=us" TargetMode="External"/><Relationship Id="rId11" Type="http://schemas.openxmlformats.org/officeDocument/2006/relationships/image" Target="../media/image13.png"/><Relationship Id="rId5" Type="http://schemas.openxmlformats.org/officeDocument/2006/relationships/hyperlink" Target="https://support.office.com/zh-TW/article/match-function-e8dffd45-c762-47d6-bf89-533f4a37673a" TargetMode="External"/><Relationship Id="rId10" Type="http://schemas.openxmlformats.org/officeDocument/2006/relationships/hyperlink" Target="#'IF &#38515;&#36848;&#24335;'!A1"/><Relationship Id="rId4" Type="http://schemas.openxmlformats.org/officeDocument/2006/relationships/image" Target="../media/image5.svg"/><Relationship Id="rId9" Type="http://schemas.openxmlformats.org/officeDocument/2006/relationships/hyperlink" Target="#VLOOKUP!A62"/><Relationship Id="rId14" Type="http://schemas.openxmlformats.org/officeDocument/2006/relationships/image" Target="../media/image23.svg"/></Relationships>
</file>

<file path=xl/drawings/_rels/drawing10.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hyperlink" Target="https://support.office.com/zh-TW/article/countifs-function-dda3dc6e-f74e-4aee-88bc-aa8c2a866842?ui=zh-TW&amp;rs=en-001&amp;ad=us" TargetMode="External"/><Relationship Id="rId18" Type="http://schemas.openxmlformats.org/officeDocument/2006/relationships/hyperlink" Target="https://support.office.com/zh-tw/article/Create-a-PivotTable-to-analyze-worksheet-data-A9A84538-BFE9-40A9-A8E9-F99134456576" TargetMode="External"/><Relationship Id="rId3" Type="http://schemas.openxmlformats.org/officeDocument/2006/relationships/hyperlink" Target="#'&#20989;&#25976;&#31934;&#38728;'!A1"/><Relationship Id="rId21" Type="http://schemas.openxmlformats.org/officeDocument/2006/relationships/hyperlink" Target="#'&#26781;&#20214;&#24335;&#20989;&#25976;'!A85"/><Relationship Id="rId7" Type="http://schemas.openxmlformats.org/officeDocument/2006/relationships/image" Target="../media/image4.png"/><Relationship Id="rId12" Type="http://schemas.openxmlformats.org/officeDocument/2006/relationships/hyperlink" Target="https://support.office.com/zh-TW/article/minifs-function-6ca1ddaa-079b-4e74-80cc-72eef32e6599?ui=zh-TW&amp;rs=en-001&amp;ad=us" TargetMode="External"/><Relationship Id="rId17" Type="http://schemas.openxmlformats.org/officeDocument/2006/relationships/hyperlink" Target="https://support.office.com/zh-TW/article/create-a-drop-down-list-7693307a-59ef-400a-b769-c5402dce407b?ui=zh-TW&amp;rs=en-001&amp;ad=us" TargetMode="External"/><Relationship Id="rId2" Type="http://schemas.openxmlformats.org/officeDocument/2006/relationships/image" Target="../media/image9.svg"/><Relationship Id="rId16" Type="http://schemas.openxmlformats.org/officeDocument/2006/relationships/hyperlink" Target="https://support.office.com/zh-TW/article/countif-function-e0de10c6-f885-4e71-abb4-1f464816df34?ui=zh-TW&amp;rs=en-001&amp;ad=us" TargetMode="External"/><Relationship Id="rId20" Type="http://schemas.openxmlformats.org/officeDocument/2006/relationships/image" Target="../media/image20.svg"/><Relationship Id="rId1" Type="http://schemas.openxmlformats.org/officeDocument/2006/relationships/image" Target="../media/image8.png"/><Relationship Id="rId6" Type="http://schemas.openxmlformats.org/officeDocument/2006/relationships/hyperlink" Target="https://support.office.com/zh-TW/article/excel-for-windows-training-9bc05390-e94c-46af-a5b3-d7c22f6990bb?ui=zh-TW&amp;rs=en-001&amp;ad=us" TargetMode="External"/><Relationship Id="rId11" Type="http://schemas.openxmlformats.org/officeDocument/2006/relationships/hyperlink" Target="https://support.office.com/zh-TW/article/averageif-function-faec8e2e-0dec-4308-af69-f5576d8ac642?ui=zh-TW&amp;rs=en-001&amp;ad=us" TargetMode="External"/><Relationship Id="rId5" Type="http://schemas.openxmlformats.org/officeDocument/2006/relationships/hyperlink" Target="#&#20989;&#25976;&#31934;&#38728;!A1"/><Relationship Id="rId15" Type="http://schemas.openxmlformats.org/officeDocument/2006/relationships/hyperlink" Target="https://support.office.com/zh-TW/article/sumif-function-169b8c99-c05c-4483-a712-1697a653039b?ui=zh-TW&amp;rs=en-001&amp;ad=us" TargetMode="External"/><Relationship Id="rId23" Type="http://schemas.openxmlformats.org/officeDocument/2006/relationships/hyperlink" Target="#'&#26781;&#20214;&#24335;&#20989;&#25976;'!A138"/><Relationship Id="rId10" Type="http://schemas.openxmlformats.org/officeDocument/2006/relationships/hyperlink" Target="https://support.office.com/zh-TW/article/averageifs-function-48910c45-1fc0-4389-a028-f7c5c3001690?ui=zh-TW&amp;rs=en-001&amp;ad=us" TargetMode="External"/><Relationship Id="rId19" Type="http://schemas.openxmlformats.org/officeDocument/2006/relationships/image" Target="../media/image24.png"/><Relationship Id="rId4" Type="http://schemas.openxmlformats.org/officeDocument/2006/relationships/hyperlink" Target="#'&#26781;&#20214;&#24335;&#20989;&#25976;'!A1"/><Relationship Id="rId9" Type="http://schemas.openxmlformats.org/officeDocument/2006/relationships/hyperlink" Target="https://support.office.com/zh-TW/article/maxifs-function-dfd611e6-da2c-488a-919b-9b6376b28883?ui=zh-TW&amp;rs=en-001&amp;ad=us" TargetMode="External"/><Relationship Id="rId14" Type="http://schemas.openxmlformats.org/officeDocument/2006/relationships/hyperlink" Target="https://support.office.com/zh-TW/article/sumifs-function-c9e748f5-7ea7-455d-9406-611cebce642b?ui=zh-TW&amp;rs=en-001&amp;ad=us" TargetMode="External"/><Relationship Id="rId22" Type="http://schemas.openxmlformats.org/officeDocument/2006/relationships/hyperlink" Target="#'&#26781;&#20214;&#24335;&#20989;&#25976;'!A130"/></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zh-TW/article/excel-functions-alphabetical-b3944572-255d-4efb-bb96-c6d90033e188?ui=zh-TW&amp;rs=en-001&amp;ad=us" TargetMode="External"/><Relationship Id="rId13" Type="http://schemas.openxmlformats.org/officeDocument/2006/relationships/image" Target="../media/image9.svg"/><Relationship Id="rId3" Type="http://schemas.openxmlformats.org/officeDocument/2006/relationships/hyperlink" Target="https://support.office.com/zh-TW/article/overview-of-formulas-in-excel-ecfdc708-9162-49e8-b993-c311f47ca173?ui=zh-TW&amp;rs=en-001&amp;ad=us" TargetMode="External"/><Relationship Id="rId7" Type="http://schemas.openxmlformats.org/officeDocument/2006/relationships/hyperlink" Target="https://support.office.com/zh-TW/article/excel-for-windows-training-9bc05390-e94c-46af-a5b3-d7c22f6990bb?ui=zh-TW&amp;rs=en-001&amp;ad=us"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support.office.com/zh-TW/article/excel-functions-by-category-5f91f4e9-7b42-46d2-9bd1-63f26a86c0eb?ui=zh-TW&amp;rs=en-001&amp;ad=us" TargetMode="External"/><Relationship Id="rId11" Type="http://schemas.openxmlformats.org/officeDocument/2006/relationships/image" Target="../media/image25.png"/><Relationship Id="rId5" Type="http://schemas.openxmlformats.org/officeDocument/2006/relationships/image" Target="../media/image5.svg"/><Relationship Id="rId10" Type="http://schemas.openxmlformats.org/officeDocument/2006/relationships/hyperlink" Target="#'&#20844;&#24335;&#37679;&#35492;'!A1"/><Relationship Id="rId4" Type="http://schemas.openxmlformats.org/officeDocument/2006/relationships/image" Target="../media/image4.png"/><Relationship Id="rId9" Type="http://schemas.openxmlformats.org/officeDocument/2006/relationships/hyperlink" Target="#'&#26781;&#20214;&#24335;&#20989;&#25976;'!A1"/></Relationships>
</file>

<file path=xl/drawings/_rels/drawing12.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hyperlink" Target="https://support.office.com/zh-TW/article/excel-for-windows-training-9bc05390-e94c-46af-a5b3-d7c22f6990bb?ui=zh-TW&amp;rs=en-001&amp;ad=us" TargetMode="External"/><Relationship Id="rId3" Type="http://schemas.openxmlformats.org/officeDocument/2006/relationships/hyperlink" Target="#'&#20989;&#25976;&#31934;&#38728;'!A1"/><Relationship Id="rId7" Type="http://schemas.openxmlformats.org/officeDocument/2006/relationships/image" Target="../media/image8.png"/><Relationship Id="rId12" Type="http://schemas.openxmlformats.org/officeDocument/2006/relationships/hyperlink" Target="https://support.office.com/zh-TW/article/how-to-avoid-broken-formulas-8309381d-33e8-42f6-b889-84ef6df1d586?ui=zh-TW&amp;rs=en-001&amp;ad=us" TargetMode="External"/><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23.svg"/><Relationship Id="rId11" Type="http://schemas.openxmlformats.org/officeDocument/2006/relationships/image" Target="../media/image5.svg"/><Relationship Id="rId5" Type="http://schemas.openxmlformats.org/officeDocument/2006/relationships/image" Target="../media/image22.png"/><Relationship Id="rId10" Type="http://schemas.openxmlformats.org/officeDocument/2006/relationships/image" Target="../media/image4.png"/><Relationship Id="rId4" Type="http://schemas.openxmlformats.org/officeDocument/2006/relationships/hyperlink" Target="#'&#28145;&#20837;&#20102;&#35299;'!A1"/><Relationship Id="rId9" Type="http://schemas.openxmlformats.org/officeDocument/2006/relationships/hyperlink" Target="https://support.office.com/zh-TW/article/detect-errors-in-formulas-3a8acca5-1d61-4702-80e0-99a36a2822c1?ui=zh-TW&amp;rs=en-001&amp;ad=us" TargetMode="External"/><Relationship Id="rId14" Type="http://schemas.openxmlformats.org/officeDocument/2006/relationships/hyperlink" Target="https://support.office.com/zh-TW/article/evaluate-a-nested-formula-one-step-at-a-time-59a201ae-d1dc-4b15-8586-a70aa409b8a7?ui=zh-TW&amp;rs=en-001&amp;ad=us" TargetMode="External"/></Relationships>
</file>

<file path=xl/drawings/_rels/drawing13.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hyperlink" Target="https://support.office.com/zh-TW/article/what-s-new-in-excel-for-office-365-5fdb9208-ff33-45b6-9e08-1f5cdb3a6c73?ui=zh-TW&amp;rs=en-001&amp;ad=us" TargetMode="External"/><Relationship Id="rId1" Type="http://schemas.openxmlformats.org/officeDocument/2006/relationships/hyperlink" Target="https://techcommunity.microsoft.com/t5/excel/ct-p/excel_cat" TargetMode="External"/><Relationship Id="rId5" Type="http://schemas.openxmlformats.org/officeDocument/2006/relationships/image" Target="../media/image30.svg"/><Relationship Id="rId4"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2198689</xdr:rowOff>
    </xdr:from>
    <xdr:to>
      <xdr:col>0</xdr:col>
      <xdr:colOff>2041238</xdr:colOff>
      <xdr:row>3</xdr:row>
      <xdr:rowOff>3195638</xdr:rowOff>
    </xdr:to>
    <xdr:pic>
      <xdr:nvPicPr>
        <xdr:cNvPr id="2" name="圖片 1" descr="Excel 標誌">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048500" y="4779963"/>
    <xdr:ext cx="1379982" cy="514350"/>
    <xdr:sp macro="" textlink="">
      <xdr:nvSpPr>
        <xdr:cNvPr id="3" name="[下一步] 按鈕" descr="附有超連結的按鈕圖案，用來瀏覽到下一個步驟">
          <a:hlinkClick xmlns:r="http://schemas.openxmlformats.org/officeDocument/2006/relationships" r:id="rId2" tooltip="選取以開始導覽"/>
          <a:extLst>
            <a:ext uri="{FF2B5EF4-FFF2-40B4-BE49-F238E27FC236}">
              <a16:creationId xmlns:a16="http://schemas.microsoft.com/office/drawing/2014/main" id="{A16C62F8-5DAF-4A85-B660-EDB91A61244F}"/>
            </a:ext>
          </a:extLst>
        </xdr:cNvPr>
        <xdr:cNvSpPr/>
      </xdr:nvSpPr>
      <xdr:spPr>
        <a:xfrm>
          <a:off x="7048500" y="4779963"/>
          <a:ext cx="137998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zh-tw" sz="1750" b="0" cap="none" spc="0" baseline="0">
              <a:ln>
                <a:noFill/>
              </a:ln>
              <a:solidFill>
                <a:srgbClr val="217346"/>
              </a:solidFill>
              <a:effectLst/>
              <a:latin typeface="Microsoft JhengHei UI" panose="020B0604030504040204" pitchFamily="34" charset="-120"/>
              <a:ea typeface="Microsoft JhengHei UI" panose="020B0604030504040204" pitchFamily="34" charset="-120"/>
              <a:cs typeface="Segoe UI" panose="020B0502040204020203" pitchFamily="34" charset="0"/>
            </a:rPr>
            <a:t>開始使用 &gt;</a:t>
          </a:r>
          <a:endParaRPr lang="en-US" sz="1750" b="0" cap="none" spc="0">
            <a:ln>
              <a:noFill/>
            </a:ln>
            <a:solidFill>
              <a:srgbClr val="217346"/>
            </a:solidFill>
            <a:effectLst/>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345256</xdr:colOff>
      <xdr:row>0</xdr:row>
      <xdr:rowOff>352425</xdr:rowOff>
    </xdr:from>
    <xdr:to>
      <xdr:col>1</xdr:col>
      <xdr:colOff>5065719</xdr:colOff>
      <xdr:row>22</xdr:row>
      <xdr:rowOff>104775</xdr:rowOff>
    </xdr:to>
    <xdr:grpSp>
      <xdr:nvGrpSpPr>
        <xdr:cNvPr id="106" name="群組 105">
          <a:extLst>
            <a:ext uri="{FF2B5EF4-FFF2-40B4-BE49-F238E27FC236}">
              <a16:creationId xmlns:a16="http://schemas.microsoft.com/office/drawing/2014/main" id="{B02C2868-90B4-49F8-9B54-D2DE144C06FB}"/>
            </a:ext>
          </a:extLst>
        </xdr:cNvPr>
        <xdr:cNvGrpSpPr/>
      </xdr:nvGrpSpPr>
      <xdr:grpSpPr>
        <a:xfrm>
          <a:off x="345256" y="352425"/>
          <a:ext cx="5815838" cy="4591050"/>
          <a:chOff x="333375" y="266700"/>
          <a:chExt cx="5695950" cy="4572000"/>
        </a:xfrm>
      </xdr:grpSpPr>
      <xdr:grpSp>
        <xdr:nvGrpSpPr>
          <xdr:cNvPr id="107" name="新增數值指示">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背景​​" descr="背景​​">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22" name="步驟" descr="基本功能：使用 Excel 執行數學運算&#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基本功能：使用 Excel 執行數學運算</a:t>
              </a:r>
              <a:endParaRPr kumimoji="0" lang="en-US" sz="2200" b="1" i="1"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23" name="[更多詳細資料] 按鈕" descr="向下瀏覽以取得更多詳細資料">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124" name="底部線條" descr="裝飾線條">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下一步] 按鈕" descr="[下一個步驟] 按鈕，附有移至下一個工作表的超連結">
              <a:hlinkClick xmlns:r="http://schemas.openxmlformats.org/officeDocument/2006/relationships" r:id="rId2" tooltip="按一下這裡前往下一個工作表"/>
              <a:extLst>
                <a:ext uri="{FF2B5EF4-FFF2-40B4-BE49-F238E27FC236}">
                  <a16:creationId xmlns:a16="http://schemas.microsoft.com/office/drawing/2014/main" id="{B0BBFD4D-9951-4AC0-8CF1-AD7AD1715BA1}"/>
                </a:ext>
              </a:extLst>
            </xdr:cNvPr>
            <xdr:cNvSpPr/>
          </xdr:nvSpPr>
          <xdr:spPr>
            <a:xfrm>
              <a:off x="4293870" y="399649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cxnSp macro="">
          <xdr:nvCxnSpPr>
            <xdr:cNvPr id="126" name="頂端線條" descr="裝飾線條">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文字_步驟" descr="您不需要使用任何內建函數就能在 Excel 中執行加、減、乘、除。您只需要使用 +、-、*、/ 運算子。所有公式都是以等號 (=) 開頭。">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您不需要使用任何內建函數就能在 Excel 中執行加、減、乘、除。您只需要使用一些基本運算子：</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。所有公式都是以等號 (=) 做為開頭。</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grpSp>
        <xdr:nvGrpSpPr>
          <xdr:cNvPr id="109" name="圖形_步驟">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文字_步驟" descr="若要相加，請選取儲存格 F3，輸入 =C3+C4，然後按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若要</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相加</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，請選取儲存格 F3，輸入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=C3+C4</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，然後按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Enter</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20" name="圖案_步驟"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grpSp>
        <xdr:nvGrpSpPr>
          <xdr:cNvPr id="110" name="圖形_步驟">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文字_步驟" descr="若要相減，請選取儲存格 F4，輸入 =C3-C4，然後按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若要</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相減</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，請選取儲存格 F4，輸入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=C3-C4</a:t>
              </a:r>
              <a:r>
                <a:rPr lang="zh-tw" sz="1200" b="0" i="0" kern="1200" baseline="0">
                  <a:solidFill>
                    <a:schemeClr val="dk1"/>
                  </a:solidFill>
                  <a:effectLst/>
                  <a:latin typeface="Microsoft JhengHei UI" panose="020B0604030504040204" pitchFamily="34" charset="-120"/>
                  <a:ea typeface="Microsoft JhengHei UI" panose="020B0604030504040204" pitchFamily="34" charset="-120"/>
                  <a:cs typeface="Segoe UI" panose="020B0502040204020203" pitchFamily="34" charset="0"/>
                </a:rPr>
                <a:t>，然後按 </a:t>
              </a:r>
              <a:r>
                <a:rPr lang="zh-tw" sz="1200" b="1" i="0" kern="1200" baseline="0">
                  <a:solidFill>
                    <a:schemeClr val="dk1"/>
                  </a:solidFill>
                  <a:effectLst/>
                  <a:latin typeface="Microsoft JhengHei UI" panose="020B0604030504040204" pitchFamily="34" charset="-120"/>
                  <a:ea typeface="Microsoft JhengHei UI" panose="020B0604030504040204" pitchFamily="34" charset="-120"/>
                  <a:cs typeface="Segoe UI" panose="020B0502040204020203" pitchFamily="34" charset="0"/>
                </a:rPr>
                <a:t>Enter</a:t>
              </a:r>
              <a:r>
                <a:rPr lang="zh-tw" sz="1200" b="0" i="0" kern="1200" baseline="0">
                  <a:solidFill>
                    <a:schemeClr val="dk1"/>
                  </a:solidFill>
                  <a:effectLst/>
                  <a:latin typeface="Microsoft JhengHei UI" panose="020B0604030504040204" pitchFamily="34" charset="-120"/>
                  <a:ea typeface="Microsoft JhengHei UI" panose="020B0604030504040204" pitchFamily="34" charset="-120"/>
                  <a:cs typeface="Segoe UI" panose="020B0502040204020203" pitchFamily="34" charset="0"/>
                </a:rPr>
                <a:t>。 </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8" name="圖案_步驟"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grpSp>
        <xdr:nvGrpSpPr>
          <xdr:cNvPr id="111" name="圖形_步驟">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文字_步驟" descr="若要相乘，請選取儲存格 F5，輸入 =C3*C4，然後按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若要</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相乘</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，請選取儲存格 F5，輸入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=C3*C4</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，然後按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Enter</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6" name="圖案_步驟"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grpSp>
      <xdr:grpSp>
        <xdr:nvGrpSpPr>
          <xdr:cNvPr id="112" name="圖形_步驟">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文字_步驟" descr="若要相除，請選取儲存格 F6，輸入 =C3/C4，然後按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若要</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相除</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，請選取儲存格 F6，輸入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=C3/C4</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，然後按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Enter</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4" name="圖案_步驟"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grpSp>
    </xdr:grpSp>
    <xdr:clientData/>
  </xdr:twoCellAnchor>
  <xdr:twoCellAnchor editAs="absolute">
    <xdr:from>
      <xdr:col>0</xdr:col>
      <xdr:colOff>335731</xdr:colOff>
      <xdr:row>23</xdr:row>
      <xdr:rowOff>0</xdr:rowOff>
    </xdr:from>
    <xdr:to>
      <xdr:col>1</xdr:col>
      <xdr:colOff>5056194</xdr:colOff>
      <xdr:row>52</xdr:row>
      <xdr:rowOff>136317</xdr:rowOff>
    </xdr:to>
    <xdr:sp macro="" textlink="">
      <xdr:nvSpPr>
        <xdr:cNvPr id="128" name="矩形 127" descr="背景​​">
          <a:extLst>
            <a:ext uri="{FF2B5EF4-FFF2-40B4-BE49-F238E27FC236}">
              <a16:creationId xmlns:a16="http://schemas.microsoft.com/office/drawing/2014/main" id="{C6DA8A49-5A77-4AE2-BD39-5BC07FDB559E}"/>
            </a:ext>
          </a:extLst>
        </xdr:cNvPr>
        <xdr:cNvSpPr/>
      </xdr:nvSpPr>
      <xdr:spPr>
        <a:xfrm>
          <a:off x="335731" y="5029200"/>
          <a:ext cx="5733288" cy="598149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lientData/>
  </xdr:twoCellAnchor>
  <xdr:twoCellAnchor editAs="absolute">
    <xdr:from>
      <xdr:col>0</xdr:col>
      <xdr:colOff>554806</xdr:colOff>
      <xdr:row>24</xdr:row>
      <xdr:rowOff>348546</xdr:rowOff>
    </xdr:from>
    <xdr:to>
      <xdr:col>1</xdr:col>
      <xdr:colOff>4793026</xdr:colOff>
      <xdr:row>24</xdr:row>
      <xdr:rowOff>348546</xdr:rowOff>
    </xdr:to>
    <xdr:cxnSp macro="">
      <xdr:nvCxnSpPr>
        <xdr:cNvPr id="129" name="直線接點​​ 128" descr="裝飾線條">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56789</xdr:rowOff>
    </xdr:from>
    <xdr:to>
      <xdr:col>1</xdr:col>
      <xdr:colOff>4793026</xdr:colOff>
      <xdr:row>49</xdr:row>
      <xdr:rowOff>56789</xdr:rowOff>
    </xdr:to>
    <xdr:cxnSp macro="">
      <xdr:nvCxnSpPr>
        <xdr:cNvPr id="130" name="直線接點 129" descr="裝飾線條">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4796199</xdr:colOff>
      <xdr:row>24</xdr:row>
      <xdr:rowOff>332352</xdr:rowOff>
    </xdr:to>
    <xdr:sp macro="" textlink="">
      <xdr:nvSpPr>
        <xdr:cNvPr id="131" name="步驟" descr="深入了解公式、儲存格和範圍&#10;">
          <a:extLst>
            <a:ext uri="{FF2B5EF4-FFF2-40B4-BE49-F238E27FC236}">
              <a16:creationId xmlns:a16="http://schemas.microsoft.com/office/drawing/2014/main" id="{357DDA9A-4748-449A-87E8-7D577E6B6F8E}"/>
            </a:ext>
          </a:extLst>
        </xdr:cNvPr>
        <xdr:cNvSpPr txBox="1"/>
      </xdr:nvSpPr>
      <xdr:spPr>
        <a:xfrm>
          <a:off x="554806" y="5089092"/>
          <a:ext cx="5254218" cy="46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深入了解公式、儲存格和範圍</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lientData/>
  </xdr:twoCellAnchor>
  <xdr:twoCellAnchor editAs="absolute">
    <xdr:from>
      <xdr:col>0</xdr:col>
      <xdr:colOff>469081</xdr:colOff>
      <xdr:row>25</xdr:row>
      <xdr:rowOff>68989</xdr:rowOff>
    </xdr:from>
    <xdr:to>
      <xdr:col>1</xdr:col>
      <xdr:colOff>4750299</xdr:colOff>
      <xdr:row>27</xdr:row>
      <xdr:rowOff>307975</xdr:rowOff>
    </xdr:to>
    <xdr:sp macro="" textlink="">
      <xdr:nvSpPr>
        <xdr:cNvPr id="132" name="文字_步驟" descr="Excel 是由分組成列和欄的個別儲存格所構成。列是以數字編排，而欄是以字母編排。共有 1,048,576 列和 16,384 欄，而您可以在任何列或欄中放入公式和函數。">
          <a:extLst>
            <a:ext uri="{FF2B5EF4-FFF2-40B4-BE49-F238E27FC236}">
              <a16:creationId xmlns:a16="http://schemas.microsoft.com/office/drawing/2014/main" id="{C309FDDD-7DD5-4C0A-A9F5-43E33DAD131C}"/>
            </a:ext>
          </a:extLst>
        </xdr:cNvPr>
        <xdr:cNvSpPr txBox="1"/>
      </xdr:nvSpPr>
      <xdr:spPr>
        <a:xfrm>
          <a:off x="469081" y="5656989"/>
          <a:ext cx="5294043" cy="619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Excel 是由分組成列和欄的個別儲存格所構成。列是以數字編排，而欄是以字母編排。有超過 1 百萬列和 16,000 欄，而且您可以在它們的任何一個之中放入公式。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xdr:twoCellAnchor>
  <xdr:twoCellAnchor editAs="absolute">
    <xdr:from>
      <xdr:col>0</xdr:col>
      <xdr:colOff>469081</xdr:colOff>
      <xdr:row>27</xdr:row>
      <xdr:rowOff>228600</xdr:rowOff>
    </xdr:from>
    <xdr:to>
      <xdr:col>1</xdr:col>
      <xdr:colOff>4750299</xdr:colOff>
      <xdr:row>34</xdr:row>
      <xdr:rowOff>123545</xdr:rowOff>
    </xdr:to>
    <xdr:sp macro="" textlink="">
      <xdr:nvSpPr>
        <xdr:cNvPr id="133" name="文字_步驟"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469081" y="6191250"/>
          <a:ext cx="5376593" cy="1390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公式可以包含儲存格參照、儲存格參照範圍、運算子和常數。以下是公式的所有範例：</a:t>
          </a:r>
        </a:p>
        <a:p>
          <a:pPr marL="457200" marR="0" lvl="1"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457200" marR="0" lvl="1"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=A1+B1</a:t>
          </a:r>
        </a:p>
        <a:p>
          <a:pPr marL="457200" marR="0" lvl="1"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=10+20</a:t>
          </a:r>
        </a:p>
        <a:p>
          <a:pPr marL="457200" marR="0" lvl="1"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=SUM(A1:A10)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xdr:twoCellAnchor>
  <xdr:twoCellAnchor editAs="absolute">
    <xdr:from>
      <xdr:col>0</xdr:col>
      <xdr:colOff>469081</xdr:colOff>
      <xdr:row>34</xdr:row>
      <xdr:rowOff>74765</xdr:rowOff>
    </xdr:from>
    <xdr:to>
      <xdr:col>1</xdr:col>
      <xdr:colOff>4885506</xdr:colOff>
      <xdr:row>40</xdr:row>
      <xdr:rowOff>136525</xdr:rowOff>
    </xdr:to>
    <xdr:sp macro="" textlink="">
      <xdr:nvSpPr>
        <xdr:cNvPr id="134" name="文字_步驟" descr="您會發現在上方的第三個範例中，我們使用了 SUM 函數。函數是一種預先建立的命令，可取得一或多個值、以某種方式計算值，然後傳回結果。例如，SUM 函數會取得您指定的儲存格參照或範圍，然後取得它們的總計。在此範例中，它取得儲存格 A1 到 A10 的值，然後取得這些值的總計。Excel 有超過 400 個函數，您可以在 [公式] 索引標籤上瀏覽這些函數。&#10;">
          <a:extLst>
            <a:ext uri="{FF2B5EF4-FFF2-40B4-BE49-F238E27FC236}">
              <a16:creationId xmlns:a16="http://schemas.microsoft.com/office/drawing/2014/main" id="{73D9B0E0-3581-491E-A150-07F5BAA0F86D}"/>
            </a:ext>
          </a:extLst>
        </xdr:cNvPr>
        <xdr:cNvSpPr txBox="1"/>
      </xdr:nvSpPr>
      <xdr:spPr>
        <a:xfrm>
          <a:off x="469081" y="7520140"/>
          <a:ext cx="5429250" cy="1204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您會發現在上方的第三個範例中，我們使用了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函數。函數是一種預先建立的命令，可取得一或多個值，以某種方式計算值，然後傳回結果。例如，</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函數會取得您指定的儲存格參照或範圍，然後取得它們的合計。在此範例中，它取得儲存格 A1 到 A10，然後取得它們的合計。Excel 有超過 400 個函數，您可以在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[公式]</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索引標籤上瀏覽這些函數。</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xdr:twoCellAnchor>
  <xdr:twoCellAnchor editAs="absolute">
    <xdr:from>
      <xdr:col>0</xdr:col>
      <xdr:colOff>469081</xdr:colOff>
      <xdr:row>40</xdr:row>
      <xdr:rowOff>160809</xdr:rowOff>
    </xdr:from>
    <xdr:to>
      <xdr:col>1</xdr:col>
      <xdr:colOff>4856931</xdr:colOff>
      <xdr:row>43</xdr:row>
      <xdr:rowOff>112620</xdr:rowOff>
    </xdr:to>
    <xdr:sp macro="" textlink="">
      <xdr:nvSpPr>
        <xdr:cNvPr id="135" name="文字_步驟" descr="含有函數的公式會以等號開頭，而函數名稱的後面會接著函數的引數 (函數用來計算的值) 並以括弧括住。 &#10;&#10;">
          <a:extLst>
            <a:ext uri="{FF2B5EF4-FFF2-40B4-BE49-F238E27FC236}">
              <a16:creationId xmlns:a16="http://schemas.microsoft.com/office/drawing/2014/main" id="{066FFF9C-96C0-4C5A-AFA6-27C4951F9C44}"/>
            </a:ext>
          </a:extLst>
        </xdr:cNvPr>
        <xdr:cNvSpPr txBox="1"/>
      </xdr:nvSpPr>
      <xdr:spPr>
        <a:xfrm>
          <a:off x="469081" y="8749184"/>
          <a:ext cx="5400675" cy="5233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含有函數的公式會以等號做為開頭，然後函數名稱的後面會接著其引數 (函數用來計算的值) 並以括弧圍繞。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xdr:twoCellAnchor>
  <xdr:twoCellAnchor editAs="absolute">
    <xdr:from>
      <xdr:col>0</xdr:col>
      <xdr:colOff>469081</xdr:colOff>
      <xdr:row>43</xdr:row>
      <xdr:rowOff>144210</xdr:rowOff>
    </xdr:from>
    <xdr:to>
      <xdr:col>1</xdr:col>
      <xdr:colOff>4866456</xdr:colOff>
      <xdr:row>49</xdr:row>
      <xdr:rowOff>52537</xdr:rowOff>
    </xdr:to>
    <xdr:sp macro="" textlink="">
      <xdr:nvSpPr>
        <xdr:cNvPr id="136" name="文字_步驟" descr="按下 Enter 即可確認公式。完成後，公式將進行計算並將結果顯示在儲存格中。若要查看公式本身，您可以查看 [功能區] 下方的公式欄，或按 F2 進入 [編輯] 模式，您將在其中看到儲存格中的公式。再次按 Enter 鍵即可完成公式並計算結果。&#10;">
          <a:extLst>
            <a:ext uri="{FF2B5EF4-FFF2-40B4-BE49-F238E27FC236}">
              <a16:creationId xmlns:a16="http://schemas.microsoft.com/office/drawing/2014/main" id="{5586BF07-B001-4F35-B7E4-70A08A528E83}"/>
            </a:ext>
          </a:extLst>
        </xdr:cNvPr>
        <xdr:cNvSpPr txBox="1"/>
      </xdr:nvSpPr>
      <xdr:spPr>
        <a:xfrm>
          <a:off x="469081" y="9316785"/>
          <a:ext cx="5492750" cy="10513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若要確認公式，請按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Enter</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。這麼做之後，公式就會計算，而結果則會顯示在儲存格中。若要查看公式本身，您可以查看位於功能區下方的資料編輯列，或按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F2</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以進入編輯模式，您會在這裡看到儲存格中的公式。再次按下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Enter</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以完成公式並計算結果。</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xdr:twoCellAnchor>
  <xdr:twoCellAnchor editAs="absolute">
    <xdr:from>
      <xdr:col>0</xdr:col>
      <xdr:colOff>478606</xdr:colOff>
      <xdr:row>50</xdr:row>
      <xdr:rowOff>5862</xdr:rowOff>
    </xdr:from>
    <xdr:to>
      <xdr:col>1</xdr:col>
      <xdr:colOff>740951</xdr:colOff>
      <xdr:row>51</xdr:row>
      <xdr:rowOff>144461</xdr:rowOff>
    </xdr:to>
    <xdr:sp macro="" textlink="">
      <xdr:nvSpPr>
        <xdr:cNvPr id="137" name="[上一個] 按鈕" descr="回到上一個工作表">
          <a:hlinkClick xmlns:r="http://schemas.openxmlformats.org/officeDocument/2006/relationships" r:id="rId3" tooltip="按一下這裡回到上一個工作表"/>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1</xdr:col>
      <xdr:colOff>3426642</xdr:colOff>
      <xdr:row>50</xdr:row>
      <xdr:rowOff>5862</xdr:rowOff>
    </xdr:from>
    <xdr:to>
      <xdr:col>1</xdr:col>
      <xdr:colOff>4701812</xdr:colOff>
      <xdr:row>51</xdr:row>
      <xdr:rowOff>144461</xdr:rowOff>
    </xdr:to>
    <xdr:sp macro="" textlink="">
      <xdr:nvSpPr>
        <xdr:cNvPr id="138" name="[下一個] 按鈕" descr="前往下一個工作表">
          <a:hlinkClick xmlns:r="http://schemas.openxmlformats.org/officeDocument/2006/relationships" r:id="rId2" tooltip="按一下這裡前往下一個工作表"/>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5</xdr:col>
      <xdr:colOff>462730</xdr:colOff>
      <xdr:row>6</xdr:row>
      <xdr:rowOff>114299</xdr:rowOff>
    </xdr:from>
    <xdr:to>
      <xdr:col>7</xdr:col>
      <xdr:colOff>427804</xdr:colOff>
      <xdr:row>12</xdr:row>
      <xdr:rowOff>123824</xdr:rowOff>
    </xdr:to>
    <xdr:grpSp>
      <xdr:nvGrpSpPr>
        <xdr:cNvPr id="139" name="祕笈" descr="祕笈&#10;&#10;">
          <a:extLst>
            <a:ext uri="{FF2B5EF4-FFF2-40B4-BE49-F238E27FC236}">
              <a16:creationId xmlns:a16="http://schemas.microsoft.com/office/drawing/2014/main" id="{34B095E6-B82C-4533-81A2-82946450BAFD}"/>
            </a:ext>
          </a:extLst>
        </xdr:cNvPr>
        <xdr:cNvGrpSpPr/>
      </xdr:nvGrpSpPr>
      <xdr:grpSpPr>
        <a:xfrm>
          <a:off x="9978205" y="1895474"/>
          <a:ext cx="2460624" cy="1162050"/>
          <a:chOff x="9048750" y="3743325"/>
          <a:chExt cx="2263181" cy="1153413"/>
        </a:xfrm>
      </xdr:grpSpPr>
      <xdr:sp macro="" textlink="">
        <xdr:nvSpPr>
          <xdr:cNvPr id="140" name="步驟"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panose="020B0502040204020203" pitchFamily="34" charset="0"/>
              </a:rPr>
              <a:t>祕笈</a:t>
            </a:r>
            <a:endParaRPr lang="en-US" sz="1200" b="1">
              <a:solidFill>
                <a:srgbClr val="ED7D31">
                  <a:lumMod val="60000"/>
                  <a:lumOff val="40000"/>
                </a:srgbClr>
              </a:solidFill>
              <a:latin typeface="+mj-lt"/>
              <a:ea typeface="Microsoft JhengHei UI" panose="020B0604030504040204" pitchFamily="34" charset="-120"/>
              <a:cs typeface="Segoe UI" panose="020B0502040204020203" pitchFamily="34" charset="0"/>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您可以使用插入號 (</a:t>
            </a:r>
            <a:r>
              <a:rPr lang="zh-tw" sz="1100" b="1" i="0" kern="1200" baseline="0">
                <a:solidFill>
                  <a:schemeClr val="dk1"/>
                </a:solidFill>
                <a:effectLst/>
                <a:latin typeface="+mn-lt"/>
                <a:ea typeface="Microsoft JhengHei UI" panose="020B0604030504040204" pitchFamily="34" charset="-120"/>
                <a:cs typeface="+mn-cs"/>
              </a:rPr>
              <a:t>^</a:t>
            </a:r>
            <a:r>
              <a:rPr lang="zh-tw" sz="1100" b="0" i="0" kern="1200" baseline="0">
                <a:solidFill>
                  <a:schemeClr val="dk1"/>
                </a:solidFill>
                <a:effectLst/>
                <a:latin typeface="+mn-lt"/>
                <a:ea typeface="Microsoft JhengHei UI" panose="020B0604030504040204" pitchFamily="34" charset="-120"/>
                <a:cs typeface="+mn-cs"/>
              </a:rPr>
              <a:t>) 將值遞增到乘冪，例如 =C3^C4。使用 </a:t>
            </a:r>
            <a:r>
              <a:rPr lang="zh-tw" sz="1100" b="1" i="0" kern="1200" baseline="0">
                <a:solidFill>
                  <a:schemeClr val="dk1"/>
                </a:solidFill>
                <a:effectLst/>
                <a:latin typeface="+mn-lt"/>
                <a:ea typeface="Microsoft JhengHei UI" panose="020B0604030504040204" pitchFamily="34" charset="-120"/>
                <a:cs typeface="+mn-cs"/>
              </a:rPr>
              <a:t>Shift+6</a:t>
            </a:r>
            <a:r>
              <a:rPr lang="zh-tw" sz="1100" b="0" i="0" kern="1200" baseline="0">
                <a:solidFill>
                  <a:schemeClr val="dk1"/>
                </a:solidFill>
                <a:effectLst/>
                <a:latin typeface="+mn-lt"/>
                <a:ea typeface="Microsoft JhengHei UI" panose="020B0604030504040204" pitchFamily="34" charset="-120"/>
                <a:cs typeface="+mn-cs"/>
              </a:rPr>
              <a:t> 輸入此符號。</a:t>
            </a:r>
          </a:p>
        </xdr:txBody>
      </xdr:sp>
      <xdr:pic>
        <xdr:nvPicPr>
          <xdr:cNvPr id="141" name="祕笈勳章" descr="裝飾勳章">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祕笈箭號" descr="箭號">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editAs="absolute">
    <xdr:from>
      <xdr:col>0</xdr:col>
      <xdr:colOff>333375</xdr:colOff>
      <xdr:row>53</xdr:row>
      <xdr:rowOff>98424</xdr:rowOff>
    </xdr:from>
    <xdr:to>
      <xdr:col>1</xdr:col>
      <xdr:colOff>5053838</xdr:colOff>
      <xdr:row>68</xdr:row>
      <xdr:rowOff>19049</xdr:rowOff>
    </xdr:to>
    <xdr:grpSp>
      <xdr:nvGrpSpPr>
        <xdr:cNvPr id="143" name="群組 142">
          <a:extLst>
            <a:ext uri="{FF2B5EF4-FFF2-40B4-BE49-F238E27FC236}">
              <a16:creationId xmlns:a16="http://schemas.microsoft.com/office/drawing/2014/main" id="{79AC946A-932E-4F38-8B0A-9F23F83F1E52}"/>
            </a:ext>
          </a:extLst>
        </xdr:cNvPr>
        <xdr:cNvGrpSpPr/>
      </xdr:nvGrpSpPr>
      <xdr:grpSpPr>
        <a:xfrm>
          <a:off x="333375" y="11175999"/>
          <a:ext cx="5815838" cy="2778125"/>
          <a:chOff x="350069" y="11620499"/>
          <a:chExt cx="5733288" cy="2771775"/>
        </a:xfrm>
      </xdr:grpSpPr>
      <xdr:sp macro="" textlink="">
        <xdr:nvSpPr>
          <xdr:cNvPr id="144" name="矩形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45" name="步驟" descr="更多網路上的資訊&#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Web 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46" name="直線接點​​ 145" descr="裝飾線條">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直線接點 146" descr="裝飾線條">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125595</xdr:rowOff>
    </xdr:from>
    <xdr:to>
      <xdr:col>1</xdr:col>
      <xdr:colOff>2312423</xdr:colOff>
      <xdr:row>58</xdr:row>
      <xdr:rowOff>122368</xdr:rowOff>
    </xdr:to>
    <xdr:grpSp>
      <xdr:nvGrpSpPr>
        <xdr:cNvPr id="148" name="群組 147">
          <a:extLst>
            <a:ext uri="{FF2B5EF4-FFF2-40B4-BE49-F238E27FC236}">
              <a16:creationId xmlns:a16="http://schemas.microsoft.com/office/drawing/2014/main" id="{CA7B2371-3B06-4B9B-9469-235F43CE38D0}"/>
            </a:ext>
          </a:extLst>
        </xdr:cNvPr>
        <xdr:cNvGrpSpPr/>
      </xdr:nvGrpSpPr>
      <xdr:grpSpPr>
        <a:xfrm>
          <a:off x="555326" y="11774670"/>
          <a:ext cx="2852472" cy="377773"/>
          <a:chOff x="552970" y="11990570"/>
          <a:chExt cx="2769922" cy="377773"/>
        </a:xfrm>
      </xdr:grpSpPr>
      <xdr:sp macro="" textlink="">
        <xdr:nvSpPr>
          <xdr:cNvPr id="149" name="步驟" descr="深入了解 AVERAGE 函數，附有移至網路的超連結&#10;&#10;">
            <a:hlinkClick xmlns:r="http://schemas.openxmlformats.org/officeDocument/2006/relationships" r:id="rId6" tooltip="選取以從網路深入了解如何使用 Excel 作為計算機"/>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用 Excel 當計算機</a:t>
            </a:r>
          </a:p>
        </xdr:txBody>
      </xdr:sp>
      <xdr:pic>
        <xdr:nvPicPr>
          <xdr:cNvPr id="150" name="圖形 22" descr="選取以從網路深入了解">
            <a:hlinkClick xmlns:r="http://schemas.openxmlformats.org/officeDocument/2006/relationships" r:id="rId6" tooltip="選取以從網路深入了解"/>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130625</xdr:rowOff>
    </xdr:from>
    <xdr:to>
      <xdr:col>1</xdr:col>
      <xdr:colOff>2340035</xdr:colOff>
      <xdr:row>60</xdr:row>
      <xdr:rowOff>132985</xdr:rowOff>
    </xdr:to>
    <xdr:grpSp>
      <xdr:nvGrpSpPr>
        <xdr:cNvPr id="151" name="群組 150" descr="Excel 中的公式概觀">
          <a:extLst>
            <a:ext uri="{FF2B5EF4-FFF2-40B4-BE49-F238E27FC236}">
              <a16:creationId xmlns:a16="http://schemas.microsoft.com/office/drawing/2014/main" id="{DBBBF993-8DF8-4B72-8129-E3AA07A81756}"/>
            </a:ext>
          </a:extLst>
        </xdr:cNvPr>
        <xdr:cNvGrpSpPr/>
      </xdr:nvGrpSpPr>
      <xdr:grpSpPr>
        <a:xfrm>
          <a:off x="555326" y="12160700"/>
          <a:ext cx="2880084" cy="383360"/>
          <a:chOff x="552970" y="12376600"/>
          <a:chExt cx="2797534" cy="383360"/>
        </a:xfrm>
      </xdr:grpSpPr>
      <xdr:sp macro="" textlink="">
        <xdr:nvSpPr>
          <xdr:cNvPr id="152" name="步驟" descr="深入了解 COUNT 函數，附有移至網路的超連結&#10;">
            <a:hlinkClick xmlns:r="http://schemas.openxmlformats.org/officeDocument/2006/relationships" r:id="rId9" tooltip="選取以從網路深入了解 Excel 公式"/>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Excel 中的公式概觀</a:t>
            </a:r>
          </a:p>
        </xdr:txBody>
      </xdr:sp>
      <xdr:pic>
        <xdr:nvPicPr>
          <xdr:cNvPr id="153" name="圖形 22" descr="選取以從網路深入了解">
            <a:hlinkClick xmlns:r="http://schemas.openxmlformats.org/officeDocument/2006/relationships" r:id="rId9" tooltip="選取以從網路深入了解"/>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149423</xdr:rowOff>
    </xdr:from>
    <xdr:to>
      <xdr:col>1</xdr:col>
      <xdr:colOff>2247080</xdr:colOff>
      <xdr:row>62</xdr:row>
      <xdr:rowOff>146196</xdr:rowOff>
    </xdr:to>
    <xdr:grpSp>
      <xdr:nvGrpSpPr>
        <xdr:cNvPr id="154" name="群組 153">
          <a:extLst>
            <a:ext uri="{FF2B5EF4-FFF2-40B4-BE49-F238E27FC236}">
              <a16:creationId xmlns:a16="http://schemas.microsoft.com/office/drawing/2014/main" id="{97003A87-44BF-4E57-A760-19DF355C2169}"/>
            </a:ext>
          </a:extLst>
        </xdr:cNvPr>
        <xdr:cNvGrpSpPr/>
      </xdr:nvGrpSpPr>
      <xdr:grpSpPr>
        <a:xfrm>
          <a:off x="555326" y="12560498"/>
          <a:ext cx="2787129" cy="377773"/>
          <a:chOff x="552970" y="12776398"/>
          <a:chExt cx="2704579" cy="377773"/>
        </a:xfrm>
      </xdr:grpSpPr>
      <xdr:sp macro="" textlink="">
        <xdr:nvSpPr>
          <xdr:cNvPr id="155" name="步驟" descr="使用 Excel 作為計算機，附有移至網路的超連結&#10;">
            <a:hlinkClick xmlns:r="http://schemas.openxmlformats.org/officeDocument/2006/relationships" r:id="rId10" tooltip="選取以從網路了解 Excel 函數 (依類別)"/>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Excel 函數 (依類別) </a:t>
            </a:r>
          </a:p>
        </xdr:txBody>
      </xdr:sp>
      <xdr:pic>
        <xdr:nvPicPr>
          <xdr:cNvPr id="156" name="圖形 155" descr="選取以從網路深入了解">
            <a:hlinkClick xmlns:r="http://schemas.openxmlformats.org/officeDocument/2006/relationships" r:id="rId10" tooltip="選取以從網路深入了解"/>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161282</xdr:rowOff>
    </xdr:from>
    <xdr:to>
      <xdr:col>1</xdr:col>
      <xdr:colOff>2504255</xdr:colOff>
      <xdr:row>64</xdr:row>
      <xdr:rowOff>163642</xdr:rowOff>
    </xdr:to>
    <xdr:grpSp>
      <xdr:nvGrpSpPr>
        <xdr:cNvPr id="157" name="群組 156">
          <a:extLst>
            <a:ext uri="{FF2B5EF4-FFF2-40B4-BE49-F238E27FC236}">
              <a16:creationId xmlns:a16="http://schemas.microsoft.com/office/drawing/2014/main" id="{71257630-43F1-4787-B9D3-FAD6BF048228}"/>
            </a:ext>
          </a:extLst>
        </xdr:cNvPr>
        <xdr:cNvGrpSpPr/>
      </xdr:nvGrpSpPr>
      <xdr:grpSpPr>
        <a:xfrm>
          <a:off x="567509" y="12953357"/>
          <a:ext cx="3032121" cy="383360"/>
          <a:chOff x="565153" y="13169257"/>
          <a:chExt cx="2949571" cy="383360"/>
        </a:xfrm>
      </xdr:grpSpPr>
      <xdr:sp macro="" textlink="">
        <xdr:nvSpPr>
          <xdr:cNvPr id="158" name="步驟" descr="免費的 Excel 線上訓練，附有移至網路的超連結&#10;">
            <a:hlinkClick xmlns:r="http://schemas.openxmlformats.org/officeDocument/2006/relationships" r:id="rId11" tooltip="選取以從網路深入了解 Excel 函數 (按字母順序)"/>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Excel 函數 (按字母順序) </a:t>
            </a:r>
          </a:p>
        </xdr:txBody>
      </xdr:sp>
      <xdr:pic>
        <xdr:nvPicPr>
          <xdr:cNvPr id="159" name="圖形 22" descr="選取以從網路深入了解">
            <a:hlinkClick xmlns:r="http://schemas.openxmlformats.org/officeDocument/2006/relationships" r:id="rId11" tooltip="選取以從網路深入了解"/>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161282</xdr:rowOff>
    </xdr:from>
    <xdr:to>
      <xdr:col>1</xdr:col>
      <xdr:colOff>1983792</xdr:colOff>
      <xdr:row>66</xdr:row>
      <xdr:rowOff>163642</xdr:rowOff>
    </xdr:to>
    <xdr:grpSp>
      <xdr:nvGrpSpPr>
        <xdr:cNvPr id="160" name="群組 159">
          <a:extLst>
            <a:ext uri="{FF2B5EF4-FFF2-40B4-BE49-F238E27FC236}">
              <a16:creationId xmlns:a16="http://schemas.microsoft.com/office/drawing/2014/main" id="{32835AA2-E6D6-41DC-B4E4-AF07FAC19150}"/>
            </a:ext>
          </a:extLst>
        </xdr:cNvPr>
        <xdr:cNvGrpSpPr/>
      </xdr:nvGrpSpPr>
      <xdr:grpSpPr>
        <a:xfrm>
          <a:off x="577034" y="13334357"/>
          <a:ext cx="2502133" cy="383360"/>
          <a:chOff x="574678" y="13550257"/>
          <a:chExt cx="2419583" cy="383360"/>
        </a:xfrm>
      </xdr:grpSpPr>
      <xdr:sp macro="" textlink="">
        <xdr:nvSpPr>
          <xdr:cNvPr id="161" name="步驟" descr="免費的 Excel 線上訓練，附有移至網路的超連結&#10;">
            <a:hlinkClick xmlns:r="http://schemas.openxmlformats.org/officeDocument/2006/relationships" r:id="rId12" tooltip="選取以從網路了解免費的 Excel 線上訓練"/>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免費的 Excel 線上訓練</a:t>
            </a:r>
          </a:p>
        </xdr:txBody>
      </xdr:sp>
      <xdr:pic>
        <xdr:nvPicPr>
          <xdr:cNvPr id="162" name="圖形 22" descr="選取以從網路深入了解">
            <a:hlinkClick xmlns:r="http://schemas.openxmlformats.org/officeDocument/2006/relationships" r:id="rId12" tooltip="選取以從網路深入了解"/>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5068888</xdr:colOff>
      <xdr:row>4</xdr:row>
      <xdr:rowOff>8382</xdr:rowOff>
    </xdr:from>
    <xdr:to>
      <xdr:col>4</xdr:col>
      <xdr:colOff>1154152</xdr:colOff>
      <xdr:row>14</xdr:row>
      <xdr:rowOff>85724</xdr:rowOff>
    </xdr:to>
    <xdr:grpSp>
      <xdr:nvGrpSpPr>
        <xdr:cNvPr id="163" name="群組 162">
          <a:extLst>
            <a:ext uri="{FF2B5EF4-FFF2-40B4-BE49-F238E27FC236}">
              <a16:creationId xmlns:a16="http://schemas.microsoft.com/office/drawing/2014/main" id="{C2C01485-52DA-46D7-91BA-2CB22C9C592D}"/>
            </a:ext>
          </a:extLst>
        </xdr:cNvPr>
        <xdr:cNvGrpSpPr/>
      </xdr:nvGrpSpPr>
      <xdr:grpSpPr>
        <a:xfrm>
          <a:off x="6164263" y="1389507"/>
          <a:ext cx="2952789" cy="2010917"/>
          <a:chOff x="6284692" y="1191270"/>
          <a:chExt cx="2351528" cy="1975892"/>
        </a:xfrm>
      </xdr:grpSpPr>
      <xdr:grpSp>
        <xdr:nvGrpSpPr>
          <xdr:cNvPr id="164" name="括號行">
            <a:extLst>
              <a:ext uri="{FF2B5EF4-FFF2-40B4-BE49-F238E27FC236}">
                <a16:creationId xmlns:a16="http://schemas.microsoft.com/office/drawing/2014/main" id="{C6C732D8-8C93-4CFB-BAD8-7EB1D0E191AF}"/>
              </a:ext>
            </a:extLst>
          </xdr:cNvPr>
          <xdr:cNvGrpSpPr/>
        </xdr:nvGrpSpPr>
        <xdr:grpSpPr>
          <a:xfrm rot="5886532">
            <a:off x="6795301" y="1008875"/>
            <a:ext cx="563095" cy="927886"/>
            <a:chOff x="9787725" y="1008145"/>
            <a:chExt cx="273326" cy="789317"/>
          </a:xfrm>
        </xdr:grpSpPr>
        <xdr:sp macro="" textlink="">
          <xdr:nvSpPr>
            <xdr:cNvPr id="167" name="另一個括號行" descr="括號行">
              <a:extLst>
                <a:ext uri="{FF2B5EF4-FFF2-40B4-BE49-F238E27FC236}">
                  <a16:creationId xmlns:a16="http://schemas.microsoft.com/office/drawing/2014/main" id="{CE60D9BE-1267-484B-8547-1136C10EC14C}"/>
                </a:ext>
              </a:extLst>
            </xdr:cNvPr>
            <xdr:cNvSpPr/>
          </xdr:nvSpPr>
          <xdr:spPr>
            <a:xfrm>
              <a:off x="9787725" y="1008145"/>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68" name="括號行" descr="括號行&#10;">
              <a:extLst>
                <a:ext uri="{FF2B5EF4-FFF2-40B4-BE49-F238E27FC236}">
                  <a16:creationId xmlns:a16="http://schemas.microsoft.com/office/drawing/2014/main" id="{5B02AF09-F448-47F0-A846-E12FFA754450}"/>
                </a:ext>
              </a:extLst>
            </xdr:cNvPr>
            <xdr:cNvSpPr/>
          </xdr:nvSpPr>
          <xdr:spPr>
            <a:xfrm>
              <a:off x="9898812" y="125486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65" name="星星" descr="星星">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說明"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3"/>
            <a:ext cx="1969112" cy="1273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立即查看</a:t>
            </a:r>
          </a:p>
          <a:p>
            <a:pPr rtl="0"/>
            <a:r>
              <a:rPr lang="zh-tw" sz="1100" kern="1200">
                <a:solidFill>
                  <a:schemeClr val="dk1"/>
                </a:solidFill>
                <a:effectLst/>
                <a:latin typeface="+mn-lt"/>
                <a:ea typeface="Microsoft JhengHei UI" panose="020B0604030504040204" pitchFamily="34" charset="-120"/>
                <a:cs typeface="+mn-cs"/>
              </a:rPr>
              <a:t>變更</a:t>
            </a:r>
            <a:r>
              <a:rPr lang="zh-tw" sz="1100" kern="1200" baseline="0">
                <a:solidFill>
                  <a:schemeClr val="dk1"/>
                </a:solidFill>
                <a:effectLst/>
                <a:latin typeface="+mn-lt"/>
                <a:ea typeface="Microsoft JhengHei UI" panose="020B0604030504040204" pitchFamily="34" charset="-120"/>
                <a:cs typeface="+mn-cs"/>
              </a:rPr>
              <a:t>這裡的數值，並且關注公式結果自動變更。</a:t>
            </a:r>
            <a:endParaRPr lang="en-US" sz="1100">
              <a:effectLst/>
              <a:ea typeface="Microsoft JhengHei UI" panose="020B0604030504040204" pitchFamily="34" charset="-120"/>
            </a:endParaRPr>
          </a:p>
        </xdr:txBody>
      </xdr:sp>
    </xdr:grpSp>
    <xdr:clientData/>
  </xdr:twoCellAnchor>
  <xdr:twoCellAnchor editAs="absolute">
    <xdr:from>
      <xdr:col>6</xdr:col>
      <xdr:colOff>220381</xdr:colOff>
      <xdr:row>25</xdr:row>
      <xdr:rowOff>180574</xdr:rowOff>
    </xdr:from>
    <xdr:to>
      <xdr:col>11</xdr:col>
      <xdr:colOff>59505</xdr:colOff>
      <xdr:row>38</xdr:row>
      <xdr:rowOff>28575</xdr:rowOff>
    </xdr:to>
    <xdr:grpSp>
      <xdr:nvGrpSpPr>
        <xdr:cNvPr id="170" name="不可不知" descr="不可不知&#10;&#10;">
          <a:extLst>
            <a:ext uri="{FF2B5EF4-FFF2-40B4-BE49-F238E27FC236}">
              <a16:creationId xmlns:a16="http://schemas.microsoft.com/office/drawing/2014/main" id="{C43C872B-4996-44B6-9821-46907E2D5805}"/>
            </a:ext>
          </a:extLst>
        </xdr:cNvPr>
        <xdr:cNvGrpSpPr/>
      </xdr:nvGrpSpPr>
      <xdr:grpSpPr>
        <a:xfrm>
          <a:off x="11088406" y="5762224"/>
          <a:ext cx="4144424" cy="2486426"/>
          <a:chOff x="7053810" y="15226304"/>
          <a:chExt cx="3722724" cy="2125702"/>
        </a:xfrm>
      </xdr:grpSpPr>
      <xdr:sp macro="" textlink="">
        <xdr:nvSpPr>
          <xdr:cNvPr id="212" name="步驟"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2089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常數是您在儲存格或公式中輸入的值。雖然 =10+20 可能與 =A1+B1 的計算結果相同，但常數並不是理想的做法。為什麼？因為您需要選取儲存格並且加以尋找，才能找到常數。這會讓您日後難以進行變更。將常數放在儲存格中會簡單很多，這樣就能輕鬆調整，並在公式中參照。</a:t>
            </a:r>
          </a:p>
          <a:p>
            <a:pPr rtl="0" eaLnBrk="1" fontAlgn="auto" latinLnBrk="0" hangingPunct="1"/>
            <a:endParaRPr lang="en-US" sz="1100" b="0" i="0" kern="1200" baseline="0">
              <a:solidFill>
                <a:schemeClr val="dk1"/>
              </a:solidFill>
              <a:effectLst/>
              <a:latin typeface="+mn-lt"/>
              <a:ea typeface="Microsoft JhengHei UI" panose="020B0604030504040204" pitchFamily="34" charset="-120"/>
              <a:cs typeface="+mn-cs"/>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例如︰選取下方顯示 </a:t>
            </a:r>
            <a:r>
              <a:rPr lang="zh-tw" sz="1100" b="1" i="0" kern="1200" baseline="0">
                <a:solidFill>
                  <a:schemeClr val="dk1"/>
                </a:solidFill>
                <a:effectLst/>
                <a:latin typeface="+mn-lt"/>
                <a:ea typeface="Microsoft JhengHei UI" panose="020B0604030504040204" pitchFamily="34" charset="-120"/>
                <a:cs typeface="+mn-cs"/>
              </a:rPr>
              <a:t>12</a:t>
            </a:r>
            <a:r>
              <a:rPr lang="zh-tw" sz="1100" b="0" i="0" kern="1200" baseline="0">
                <a:solidFill>
                  <a:schemeClr val="dk1"/>
                </a:solidFill>
                <a:effectLst/>
                <a:latin typeface="+mn-lt"/>
                <a:ea typeface="Microsoft JhengHei UI" panose="020B0604030504040204" pitchFamily="34" charset="-120"/>
                <a:cs typeface="+mn-cs"/>
              </a:rPr>
              <a:t> 的黃色儲存格。您會發現我們在儲存格範圍中使用 </a:t>
            </a:r>
            <a:r>
              <a:rPr lang="zh-tw" sz="1100" b="1" i="0" kern="1200" baseline="0">
                <a:solidFill>
                  <a:schemeClr val="dk1"/>
                </a:solidFill>
                <a:effectLst/>
                <a:latin typeface="+mn-lt"/>
                <a:ea typeface="Microsoft JhengHei UI" panose="020B0604030504040204" pitchFamily="34" charset="-120"/>
                <a:cs typeface="+mn-cs"/>
              </a:rPr>
              <a:t>SUM</a:t>
            </a:r>
            <a:r>
              <a:rPr lang="zh-tw" sz="1100" b="0" i="0" kern="1200" baseline="0">
                <a:solidFill>
                  <a:schemeClr val="dk1"/>
                </a:solidFill>
                <a:effectLst/>
                <a:latin typeface="+mn-lt"/>
                <a:ea typeface="Microsoft JhengHei UI" panose="020B0604030504040204" pitchFamily="34" charset="-120"/>
                <a:cs typeface="+mn-cs"/>
              </a:rPr>
              <a:t> 函數。我們並未在公式中直接輸入 "4" 或 "8"。 </a:t>
            </a:r>
          </a:p>
        </xdr:txBody>
      </xdr:sp>
      <xdr:pic>
        <xdr:nvPicPr>
          <xdr:cNvPr id="213" name="圖形 147" descr="眼鏡">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oneCell">
    <xdr:from>
      <xdr:col>1</xdr:col>
      <xdr:colOff>5381625</xdr:colOff>
      <xdr:row>25</xdr:row>
      <xdr:rowOff>36006</xdr:rowOff>
    </xdr:from>
    <xdr:to>
      <xdr:col>5</xdr:col>
      <xdr:colOff>978842</xdr:colOff>
      <xdr:row>33</xdr:row>
      <xdr:rowOff>19248</xdr:rowOff>
    </xdr:to>
    <xdr:pic>
      <xdr:nvPicPr>
        <xdr:cNvPr id="3" name="圖片 2" descr="常數是您在儲存格或公式中輸入的值。雖然 = 10 + 20 可能與 = A1 + B1 算出來的值相同，但常數不是一個好的作法。為什麼？因為若未選取儲存格和尋找儲存格，您無法輕鬆查看常數。這可能造成日後難以變更。將常數放在儲存格的方式比較簡單，您可以輕鬆進行調整，並在公式中引用常數。&#10;">
          <a:extLst>
            <a:ext uri="{FF2B5EF4-FFF2-40B4-BE49-F238E27FC236}">
              <a16:creationId xmlns:a16="http://schemas.microsoft.com/office/drawing/2014/main" id="{3808C00C-1654-4B71-AEA3-B46BBA6A8A1A}"/>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6477000" y="5617656"/>
          <a:ext cx="4017317" cy="1669167"/>
        </a:xfrm>
        <a:prstGeom prst="rect">
          <a:avLst/>
        </a:prstGeom>
      </xdr:spPr>
    </xdr:pic>
    <xdr:clientData/>
  </xdr:twoCellAnchor>
  <xdr:twoCellAnchor editAs="oneCell">
    <xdr:from>
      <xdr:col>1</xdr:col>
      <xdr:colOff>5371195</xdr:colOff>
      <xdr:row>34</xdr:row>
      <xdr:rowOff>38100</xdr:rowOff>
    </xdr:from>
    <xdr:to>
      <xdr:col>5</xdr:col>
      <xdr:colOff>684546</xdr:colOff>
      <xdr:row>44</xdr:row>
      <xdr:rowOff>85982</xdr:rowOff>
    </xdr:to>
    <xdr:pic>
      <xdr:nvPicPr>
        <xdr:cNvPr id="4" name="圖片 3" descr="儲存格範圍包括開頭的儲存格、冒號及結尾的儲存格。當您為公式選取儲存格範圍時，Excel 會自動加上冒號。例如，A1:A10 是從儲存格 A1 到儲存格 A10 的儲存格範圍。">
          <a:extLst>
            <a:ext uri="{FF2B5EF4-FFF2-40B4-BE49-F238E27FC236}">
              <a16:creationId xmlns:a16="http://schemas.microsoft.com/office/drawing/2014/main" id="{A10B1741-C031-4CCA-8649-E13E092B5165}"/>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xdr:blipFill>
      <xdr:spPr>
        <a:xfrm>
          <a:off x="6466570" y="7496175"/>
          <a:ext cx="3733451" cy="1952882"/>
        </a:xfrm>
        <a:prstGeom prst="rect">
          <a:avLst/>
        </a:prstGeom>
      </xdr:spPr>
    </xdr:pic>
    <xdr:clientData/>
  </xdr:twoCellAnchor>
  <xdr:twoCellAnchor editAs="oneCell">
    <xdr:from>
      <xdr:col>2</xdr:col>
      <xdr:colOff>38100</xdr:colOff>
      <xdr:row>46</xdr:row>
      <xdr:rowOff>84960</xdr:rowOff>
    </xdr:from>
    <xdr:to>
      <xdr:col>9</xdr:col>
      <xdr:colOff>35770</xdr:colOff>
      <xdr:row>58</xdr:row>
      <xdr:rowOff>48714</xdr:rowOff>
    </xdr:to>
    <xdr:pic>
      <xdr:nvPicPr>
        <xdr:cNvPr id="5" name="圖片 4" descr="在 Excel 中使用函數時，首先從函數名稱名稱，例如 = SUM，然後是左括號。接下來新增函數引數或範圍，您可以使用逗號分隔多個引數或範圍。在這個範例中，我們使用 =SUM(A1:A10,C1:C10) 將兩個範圍加總。">
          <a:extLst>
            <a:ext uri="{FF2B5EF4-FFF2-40B4-BE49-F238E27FC236}">
              <a16:creationId xmlns:a16="http://schemas.microsoft.com/office/drawing/2014/main" id="{9CE19FB0-7F40-4845-93C2-4653431C8678}"/>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xdr:blipFill>
      <xdr:spPr>
        <a:xfrm>
          <a:off x="6600825" y="9829035"/>
          <a:ext cx="7027120" cy="22497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5063363</xdr:colOff>
      <xdr:row>82</xdr:row>
      <xdr:rowOff>19050</xdr:rowOff>
    </xdr:to>
    <xdr:grpSp>
      <xdr:nvGrpSpPr>
        <xdr:cNvPr id="180" name="網路上的更多資訊" descr="More information on the web, contains links to the web&#10;Back to top&#10;Next step">
          <a:hlinkClick xmlns:r="http://schemas.openxmlformats.org/officeDocument/2006/relationships" r:id="rId1" tooltip="按一下這裡前往下一個工作表"/>
          <a:extLst>
            <a:ext uri="{FF2B5EF4-FFF2-40B4-BE49-F238E27FC236}">
              <a16:creationId xmlns:a16="http://schemas.microsoft.com/office/drawing/2014/main" id="{ABD21ECB-A0A3-4E0D-861E-B3FBCE376575}"/>
            </a:ext>
          </a:extLst>
        </xdr:cNvPr>
        <xdr:cNvGrpSpPr/>
      </xdr:nvGrpSpPr>
      <xdr:grpSpPr>
        <a:xfrm>
          <a:off x="342900" y="12715875"/>
          <a:ext cx="5815838" cy="3495675"/>
          <a:chOff x="323850" y="16837043"/>
          <a:chExt cx="5737224" cy="3349188"/>
        </a:xfrm>
      </xdr:grpSpPr>
      <xdr:sp macro="" textlink="">
        <xdr:nvSpPr>
          <xdr:cNvPr id="181" name="矩形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82" name="步驟" descr="更多網路上的資訊&#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Web 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83" name="直線接點​​ 182" descr="裝飾線條">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下一步] 按鈕" descr="回到頁首，附有移至儲存格 A1 的超連結">
            <a:hlinkClick xmlns:r="http://schemas.openxmlformats.org/officeDocument/2006/relationships" r:id="rId1" tooltip="選取以回到此工作表中的儲存格 A1"/>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85" name="直線接點​​ 184" descr="裝飾線條">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下一步] 按鈕" descr="[下一個步驟] 按鈕，附有移至下一個工作表的超連結">
            <a:hlinkClick xmlns:r="http://schemas.openxmlformats.org/officeDocument/2006/relationships" r:id="rId2" tooltip="按一下這裡前往下一個工作表"/>
            <a:extLst>
              <a:ext uri="{FF2B5EF4-FFF2-40B4-BE49-F238E27FC236}">
                <a16:creationId xmlns:a16="http://schemas.microsoft.com/office/drawing/2014/main" id="{4F102BCA-DDCB-4390-A653-445B336B333A}"/>
              </a:ext>
            </a:extLst>
          </xdr:cNvPr>
          <xdr:cNvSpPr/>
        </xdr:nvSpPr>
        <xdr:spPr>
          <a:xfrm>
            <a:off x="4658995" y="19669174"/>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87" name="步驟" descr="深入了解 SUM 函數，附有移至網路的超連結&#10;&#10;">
            <a:hlinkClick xmlns:r="http://schemas.openxmlformats.org/officeDocument/2006/relationships" r:id="rId3" tooltip="選取以從網路深入了解 SUM 函數"/>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SUM</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188" name="圖形 22" descr="箭號">
            <a:hlinkClick xmlns:r="http://schemas.openxmlformats.org/officeDocument/2006/relationships" r:id="rId3" tooltip="選取以從網路深入了解"/>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步驟" descr="深入了解如何使用自動加總來加總數值，附有移至網路的超連結&#10;">
            <a:hlinkClick xmlns:r="http://schemas.openxmlformats.org/officeDocument/2006/relationships" r:id="rId6" tooltip="選取以在網路上深入了解如何使用自動加總來加總數值"/>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使用自動加總</a:t>
            </a:r>
            <a:r>
              <a:rPr lang="zh-tw" sz="1100" u="sng"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來加總數值</a:t>
            </a:r>
            <a:endPar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190" name="圖形 22" descr="箭號">
            <a:hlinkClick xmlns:r="http://schemas.openxmlformats.org/officeDocument/2006/relationships" r:id="rId6" tooltip="選取以從網路深入了解"/>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步驟" descr="深入了解 COUNT 函數，附有移至網路的超連結&#10;">
            <a:hlinkClick xmlns:r="http://schemas.openxmlformats.org/officeDocument/2006/relationships" r:id="rId7" tooltip="選取以在網路上深入了解 COUNT 函數"/>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COUNT</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192" name="圖形 22" descr="箭號">
            <a:hlinkClick xmlns:r="http://schemas.openxmlformats.org/officeDocument/2006/relationships" r:id="rId7" tooltip="選取以從網路深入了解"/>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步驟" descr="免費的 Excel 線上訓練，附有移至網路的超連結&#10;">
            <a:hlinkClick xmlns:r="http://schemas.openxmlformats.org/officeDocument/2006/relationships" r:id="rId8" tooltip="選取以了解網路上免費的 Excel 訓練"/>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免費的 Excel 線上訓練</a:t>
            </a:r>
          </a:p>
        </xdr:txBody>
      </xdr:sp>
      <xdr:pic>
        <xdr:nvPicPr>
          <xdr:cNvPr id="194" name="圖形 22" descr="箭號">
            <a:hlinkClick xmlns:r="http://schemas.openxmlformats.org/officeDocument/2006/relationships" r:id="rId8" tooltip="選取以從網路深入了解"/>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3</xdr:col>
      <xdr:colOff>19070</xdr:colOff>
      <xdr:row>51</xdr:row>
      <xdr:rowOff>6344</xdr:rowOff>
    </xdr:from>
    <xdr:to>
      <xdr:col>7</xdr:col>
      <xdr:colOff>6367</xdr:colOff>
      <xdr:row>61</xdr:row>
      <xdr:rowOff>57146</xdr:rowOff>
    </xdr:to>
    <xdr:grpSp>
      <xdr:nvGrpSpPr>
        <xdr:cNvPr id="195" name="要訣詳述"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7724795" y="10293344"/>
          <a:ext cx="3854447" cy="1955802"/>
          <a:chOff x="7467459" y="10960177"/>
          <a:chExt cx="3714747" cy="1889001"/>
        </a:xfrm>
      </xdr:grpSpPr>
      <xdr:sp macro="" textlink="">
        <xdr:nvSpPr>
          <xdr:cNvPr id="196" name="指示"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753206" y="11363322"/>
            <a:ext cx="3429000" cy="1485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要訣詳述</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按兩下此儲存格。您會在尾端看到 </a:t>
            </a:r>
            <a:r>
              <a:rPr lang="zh-tw" sz="1100" b="0" i="1" kern="1200" baseline="0">
                <a:solidFill>
                  <a:schemeClr val="dk1"/>
                </a:solidFill>
                <a:effectLst/>
                <a:latin typeface="+mn-lt"/>
                <a:ea typeface="Microsoft JhengHei UI" panose="020B0604030504040204" pitchFamily="34" charset="-120"/>
                <a:cs typeface="+mn-cs"/>
              </a:rPr>
              <a:t>100</a:t>
            </a:r>
            <a:r>
              <a:rPr lang="zh-tw" sz="1100" b="0" i="0" kern="1200" baseline="0">
                <a:solidFill>
                  <a:schemeClr val="dk1"/>
                </a:solidFill>
                <a:effectLst/>
                <a:latin typeface="+mn-lt"/>
                <a:ea typeface="Microsoft JhengHei UI" panose="020B0604030504040204" pitchFamily="34" charset="-120"/>
                <a:cs typeface="+mn-cs"/>
              </a:rPr>
              <a:t>。雖然您可以像這樣在公式中加入數值，但除非必要，我們不建議您這麼做。這稱為</a:t>
            </a:r>
            <a:r>
              <a:rPr lang="zh-tw" sz="1100" b="1" i="0" kern="1200" baseline="0">
                <a:solidFill>
                  <a:schemeClr val="dk1"/>
                </a:solidFill>
                <a:effectLst/>
                <a:latin typeface="+mn-lt"/>
                <a:ea typeface="Microsoft JhengHei UI" panose="020B0604030504040204" pitchFamily="34" charset="-120"/>
                <a:cs typeface="+mn-cs"/>
              </a:rPr>
              <a:t>「常數」</a:t>
            </a:r>
            <a:r>
              <a:rPr lang="zh-tw" sz="1100" b="0" i="0" kern="1200" baseline="0">
                <a:solidFill>
                  <a:schemeClr val="dk1"/>
                </a:solidFill>
                <a:effectLst/>
                <a:latin typeface="+mn-lt"/>
                <a:ea typeface="Microsoft JhengHei UI" panose="020B0604030504040204" pitchFamily="34" charset="-120"/>
                <a:cs typeface="+mn-cs"/>
              </a:rPr>
              <a:t>，很容易忘記此數值的存在。建議您改為參照其他儲存格，例如儲存格 F51，以便輕鬆看到此數值，而不會隱藏在公式內。 </a:t>
            </a:r>
            <a:endParaRPr lang="en-US" sz="1100">
              <a:effectLst/>
              <a:ea typeface="Microsoft JhengHei UI" panose="020B0604030504040204" pitchFamily="34" charset="-120"/>
            </a:endParaRPr>
          </a:p>
        </xdr:txBody>
      </xdr:sp>
      <xdr:pic>
        <xdr:nvPicPr>
          <xdr:cNvPr id="197" name="放大鏡" descr="放大鏡">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7467459" y="11420475"/>
            <a:ext cx="352313" cy="339611"/>
          </a:xfrm>
          <a:prstGeom prst="rect">
            <a:avLst/>
          </a:prstGeom>
        </xdr:spPr>
      </xdr:pic>
      <xdr:sp macro="" textlink="">
        <xdr:nvSpPr>
          <xdr:cNvPr id="198" name="箭號" descr="箭號">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4</xdr:col>
      <xdr:colOff>7442</xdr:colOff>
      <xdr:row>33</xdr:row>
      <xdr:rowOff>120650</xdr:rowOff>
    </xdr:from>
    <xdr:to>
      <xdr:col>7</xdr:col>
      <xdr:colOff>219076</xdr:colOff>
      <xdr:row>42</xdr:row>
      <xdr:rowOff>114300</xdr:rowOff>
    </xdr:to>
    <xdr:grpSp>
      <xdr:nvGrpSpPr>
        <xdr:cNvPr id="2" name="群組 1">
          <a:extLst>
            <a:ext uri="{FF2B5EF4-FFF2-40B4-BE49-F238E27FC236}">
              <a16:creationId xmlns:a16="http://schemas.microsoft.com/office/drawing/2014/main" id="{C31E7FA9-873B-48E5-80FF-FEEB66A44E83}"/>
            </a:ext>
          </a:extLst>
        </xdr:cNvPr>
        <xdr:cNvGrpSpPr/>
      </xdr:nvGrpSpPr>
      <xdr:grpSpPr>
        <a:xfrm>
          <a:off x="8856167" y="6978650"/>
          <a:ext cx="2935784" cy="1708150"/>
          <a:chOff x="8151290" y="6978650"/>
          <a:chExt cx="2355915" cy="1708150"/>
        </a:xfrm>
      </xdr:grpSpPr>
      <xdr:pic>
        <xdr:nvPicPr>
          <xdr:cNvPr id="200" name="狀態列圖形" descr="狀態列圖形 Sum: 170">
            <a:extLst>
              <a:ext uri="{FF2B5EF4-FFF2-40B4-BE49-F238E27FC236}">
                <a16:creationId xmlns:a16="http://schemas.microsoft.com/office/drawing/2014/main" id="{26CBE60B-8C6B-4B6C-A49E-B12121A259CA}"/>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8849831" y="7766151"/>
            <a:ext cx="783709" cy="188153"/>
          </a:xfrm>
          <a:prstGeom prst="rect">
            <a:avLst/>
          </a:prstGeom>
        </xdr:spPr>
      </xdr:pic>
      <xdr:grpSp>
        <xdr:nvGrpSpPr>
          <xdr:cNvPr id="201" name="立即查看"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0" y="6978650"/>
            <a:ext cx="2355915" cy="1708150"/>
            <a:chOff x="7539454" y="7993902"/>
            <a:chExt cx="2237858" cy="1708150"/>
          </a:xfrm>
        </xdr:grpSpPr>
        <xdr:grpSp>
          <xdr:nvGrpSpPr>
            <xdr:cNvPr id="202" name="括號行">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另一個括號行" descr="括號行">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206" name="括號行" descr="括號行&#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203" name="星星" descr="星星">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13018" cy="337815"/>
            </a:xfrm>
            <a:prstGeom prst="rect">
              <a:avLst/>
            </a:prstGeom>
          </xdr:spPr>
        </xdr:pic>
        <xdr:sp macro="" textlink="">
          <xdr:nvSpPr>
            <xdr:cNvPr id="204" name="說明"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096225" y="7993902"/>
              <a:ext cx="1681087" cy="170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立即查看</a:t>
              </a:r>
            </a:p>
            <a:p>
              <a:pPr lvl="0" rtl="0">
                <a:defRPr/>
              </a:pPr>
              <a:r>
                <a:rPr lang="zh-tw" sz="1100" kern="0">
                  <a:solidFill>
                    <a:schemeClr val="bg2">
                      <a:lumMod val="25000"/>
                    </a:schemeClr>
                  </a:solidFill>
                  <a:latin typeface="+mn-lt"/>
                  <a:ea typeface="Microsoft JhengHei UI" panose="020B0604030504040204" pitchFamily="34" charset="-120"/>
                  <a:cs typeface="Segoe UI Light" panose="020B0502040204020203" pitchFamily="34" charset="0"/>
                </a:rPr>
                <a:t>選取這些儲存格。然後在 </a:t>
              </a:r>
              <a:r>
                <a:rPr lang="zh-tw" sz="1100" kern="0" baseline="0">
                  <a:solidFill>
                    <a:schemeClr val="bg2">
                      <a:lumMod val="25000"/>
                    </a:schemeClr>
                  </a:solidFill>
                  <a:latin typeface="+mn-lt"/>
                  <a:ea typeface="Microsoft JhengHei UI" panose="020B0604030504040204" pitchFamily="34" charset="-120"/>
                  <a:cs typeface="Segoe UI Light" panose="020B0502040204020203" pitchFamily="34" charset="0"/>
                </a:rPr>
                <a:t>Excel 視窗右下角找出以下內容：</a:t>
              </a:r>
            </a:p>
            <a:p>
              <a:pPr lvl="0" rtl="0">
                <a:defRPr/>
              </a:pPr>
              <a:br>
                <a:rPr lang="en-US" sz="1100" kern="0" baseline="0">
                  <a:solidFill>
                    <a:schemeClr val="bg2">
                      <a:lumMod val="25000"/>
                    </a:schemeClr>
                  </a:solidFill>
                  <a:latin typeface="+mn-lt"/>
                  <a:ea typeface="Microsoft JhengHei UI" panose="020B0604030504040204" pitchFamily="34" charset="-120"/>
                  <a:cs typeface="Segoe UI Light" panose="020B0502040204020203" pitchFamily="34" charset="0"/>
                </a:rPr>
              </a:br>
              <a:endParaRPr lang="en-US" sz="1100" kern="0" baseline="0">
                <a:solidFill>
                  <a:schemeClr val="bg2">
                    <a:lumMod val="25000"/>
                  </a:schemeClr>
                </a:solidFill>
                <a:latin typeface="+mn-lt"/>
                <a:ea typeface="Microsoft JhengHei UI" panose="020B0604030504040204" pitchFamily="34" charset="-120"/>
                <a:cs typeface="Segoe UI Light" panose="020B0502040204020203" pitchFamily="34" charset="0"/>
              </a:endParaRPr>
            </a:p>
            <a:p>
              <a:pPr lvl="0" rtl="0">
                <a:defRPr/>
              </a:pPr>
              <a:r>
                <a:rPr lang="zh-tw" sz="1100" kern="0" baseline="0">
                  <a:solidFill>
                    <a:schemeClr val="bg2">
                      <a:lumMod val="25000"/>
                    </a:schemeClr>
                  </a:solidFill>
                  <a:latin typeface="+mn-lt"/>
                  <a:ea typeface="Microsoft JhengHei UI" panose="020B0604030504040204" pitchFamily="34" charset="-120"/>
                  <a:cs typeface="Segoe UI Light" panose="020B0502040204020203" pitchFamily="34" charset="0"/>
                </a:rPr>
                <a:t>這稱為狀態列，而且這只是另一種快速尋找合計和有關所選儲存格或範圍的其他詳細資料的方法。 </a:t>
              </a:r>
              <a:endParaRPr lang="en-US" sz="1100">
                <a:solidFill>
                  <a:schemeClr val="bg2">
                    <a:lumMod val="25000"/>
                  </a:schemeClr>
                </a:solidFill>
                <a:latin typeface="+mn-lt"/>
                <a:ea typeface="Microsoft JhengHei UI" panose="020B0604030504040204" pitchFamily="34" charset="-120"/>
                <a:cs typeface="Segoe UI Light" panose="020B0502040204020203" pitchFamily="34" charset="0"/>
              </a:endParaRPr>
            </a:p>
          </xdr:txBody>
        </xdr:sp>
      </xdr:grpSp>
    </xdr:grpSp>
    <xdr:clientData/>
  </xdr:twoCellAnchor>
  <xdr:twoCellAnchor editAs="oneCell">
    <xdr:from>
      <xdr:col>5</xdr:col>
      <xdr:colOff>904874</xdr:colOff>
      <xdr:row>15</xdr:row>
      <xdr:rowOff>28576</xdr:rowOff>
    </xdr:from>
    <xdr:to>
      <xdr:col>8</xdr:col>
      <xdr:colOff>606423</xdr:colOff>
      <xdr:row>22</xdr:row>
      <xdr:rowOff>85725</xdr:rowOff>
    </xdr:to>
    <xdr:grpSp>
      <xdr:nvGrpSpPr>
        <xdr:cNvPr id="207" name="群組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953624" y="3457576"/>
          <a:ext cx="2987674" cy="1390649"/>
          <a:chOff x="9048750" y="3743325"/>
          <a:chExt cx="2839722" cy="1390649"/>
        </a:xfrm>
      </xdr:grpSpPr>
      <xdr:sp macro="" textlink="">
        <xdr:nvSpPr>
          <xdr:cNvPr id="208" name="步驟"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panose="020B0502040204020203" pitchFamily="34" charset="0"/>
              </a:rPr>
              <a:t>祕笈</a:t>
            </a:r>
            <a:endParaRPr lang="en-US" sz="1200" b="1">
              <a:solidFill>
                <a:srgbClr val="ED7D31">
                  <a:lumMod val="60000"/>
                  <a:lumOff val="40000"/>
                </a:srgbClr>
              </a:solidFill>
              <a:latin typeface="+mj-lt"/>
              <a:ea typeface="Microsoft JhengHei UI" panose="020B0604030504040204" pitchFamily="34" charset="-120"/>
              <a:cs typeface="Segoe UI" panose="020B0502040204020203" pitchFamily="34" charset="0"/>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使用任何您已經嘗試過的方法來試試看 </a:t>
            </a:r>
            <a:r>
              <a:rPr lang="zh-tw" sz="1100" b="1" i="0" kern="1200" baseline="0">
                <a:solidFill>
                  <a:schemeClr val="dk1"/>
                </a:solidFill>
                <a:effectLst/>
                <a:latin typeface="+mn-lt"/>
                <a:ea typeface="Microsoft JhengHei UI" panose="020B0604030504040204" pitchFamily="34" charset="-120"/>
                <a:cs typeface="+mn-cs"/>
              </a:rPr>
              <a:t>COUNT</a:t>
            </a:r>
            <a:r>
              <a:rPr lang="zh-tw" sz="1100" b="0" i="0" kern="1200" baseline="0">
                <a:solidFill>
                  <a:schemeClr val="dk1"/>
                </a:solidFill>
                <a:effectLst/>
                <a:latin typeface="+mn-lt"/>
                <a:ea typeface="Microsoft JhengHei UI" panose="020B0604030504040204" pitchFamily="34" charset="-120"/>
                <a:cs typeface="+mn-cs"/>
              </a:rPr>
              <a:t> 函數。</a:t>
            </a:r>
            <a:r>
              <a:rPr lang="zh-tw" sz="1100" b="1" i="0" kern="1200" baseline="0">
                <a:solidFill>
                  <a:schemeClr val="dk1"/>
                </a:solidFill>
                <a:effectLst/>
                <a:latin typeface="+mn-lt"/>
                <a:ea typeface="Microsoft JhengHei UI" panose="020B0604030504040204" pitchFamily="34" charset="-120"/>
                <a:cs typeface="+mn-cs"/>
              </a:rPr>
              <a:t>COUNT</a:t>
            </a:r>
            <a:r>
              <a:rPr lang="zh-tw" sz="1100" b="0" i="0" kern="1200" baseline="0">
                <a:solidFill>
                  <a:schemeClr val="dk1"/>
                </a:solidFill>
                <a:effectLst/>
                <a:latin typeface="+mn-lt"/>
                <a:ea typeface="Microsoft JhengHei UI" panose="020B0604030504040204" pitchFamily="34" charset="-120"/>
                <a:cs typeface="+mn-cs"/>
              </a:rPr>
              <a:t> 函數會計算包含數值之某個範圍中的儲存格數目。</a:t>
            </a:r>
          </a:p>
        </xdr:txBody>
      </xdr:sp>
      <xdr:pic>
        <xdr:nvPicPr>
          <xdr:cNvPr id="209" name="祕笈勳章" descr="裝飾勳章">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祕笈箭號" descr="箭號">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355809</xdr:colOff>
      <xdr:row>22</xdr:row>
      <xdr:rowOff>28580</xdr:rowOff>
    </xdr:from>
    <xdr:to>
      <xdr:col>1</xdr:col>
      <xdr:colOff>5078034</xdr:colOff>
      <xdr:row>63</xdr:row>
      <xdr:rowOff>66675</xdr:rowOff>
    </xdr:to>
    <xdr:grpSp>
      <xdr:nvGrpSpPr>
        <xdr:cNvPr id="4" name="群組 3">
          <a:extLst>
            <a:ext uri="{FF2B5EF4-FFF2-40B4-BE49-F238E27FC236}">
              <a16:creationId xmlns:a16="http://schemas.microsoft.com/office/drawing/2014/main" id="{F60B4319-44A9-469F-A62C-1D9E3BD387BB}"/>
            </a:ext>
          </a:extLst>
        </xdr:cNvPr>
        <xdr:cNvGrpSpPr/>
      </xdr:nvGrpSpPr>
      <xdr:grpSpPr>
        <a:xfrm>
          <a:off x="355809" y="4791080"/>
          <a:ext cx="5817600" cy="7848595"/>
          <a:chOff x="355809" y="4791079"/>
          <a:chExt cx="5576713" cy="7848596"/>
        </a:xfrm>
      </xdr:grpSpPr>
      <xdr:sp macro="" textlink="">
        <xdr:nvSpPr>
          <xdr:cNvPr id="227" name="矩形 226" descr="背景​​">
            <a:extLst>
              <a:ext uri="{FF2B5EF4-FFF2-40B4-BE49-F238E27FC236}">
                <a16:creationId xmlns:a16="http://schemas.microsoft.com/office/drawing/2014/main" id="{FE05A65F-6F64-4D5F-8F2C-C74D8B5B4B8A}"/>
              </a:ext>
            </a:extLst>
          </xdr:cNvPr>
          <xdr:cNvSpPr/>
        </xdr:nvSpPr>
        <xdr:spPr>
          <a:xfrm>
            <a:off x="355809" y="4791079"/>
            <a:ext cx="5576713"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28" name="直線接點 227" descr="裝飾線條">
            <a:extLst>
              <a:ext uri="{FF2B5EF4-FFF2-40B4-BE49-F238E27FC236}">
                <a16:creationId xmlns:a16="http://schemas.microsoft.com/office/drawing/2014/main" id="{E01E9DE0-78BF-4EAC-AF4D-2F1BE5EF054F}"/>
              </a:ext>
            </a:extLst>
          </xdr:cNvPr>
          <xdr:cNvCxnSpPr>
            <a:cxnSpLocks/>
          </xdr:cNvCxnSpPr>
        </xdr:nvCxnSpPr>
        <xdr:spPr>
          <a:xfrm>
            <a:off x="549298" y="5465828"/>
            <a:ext cx="51349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直線接點 228" descr="裝飾線條">
            <a:extLst>
              <a:ext uri="{FF2B5EF4-FFF2-40B4-BE49-F238E27FC236}">
                <a16:creationId xmlns:a16="http://schemas.microsoft.com/office/drawing/2014/main" id="{178E934D-C0C4-4CD9-B5EC-2F0A9FC59848}"/>
              </a:ext>
            </a:extLst>
          </xdr:cNvPr>
          <xdr:cNvCxnSpPr>
            <a:cxnSpLocks/>
          </xdr:cNvCxnSpPr>
        </xdr:nvCxnSpPr>
        <xdr:spPr>
          <a:xfrm>
            <a:off x="549298" y="12411222"/>
            <a:ext cx="51349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步驟" descr="深入了解函數&#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深入了解函數</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231" name="步驟"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4" y="5559755"/>
            <a:ext cx="5138885" cy="2803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移至</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[公式]</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索引標籤，然後瀏覽</a:t>
            </a:r>
            <a:r>
              <a:rPr lang="zh-tw" sz="1100" kern="1200" baseline="0">
                <a:solidFill>
                  <a:schemeClr val="dk1"/>
                </a:solidFill>
                <a:effectLst/>
                <a:latin typeface="Microsoft JhengHei UI" panose="020B0604030504040204" pitchFamily="34" charset="-120"/>
                <a:ea typeface="Microsoft JhengHei UI" panose="020B0604030504040204" pitchFamily="34" charset="-120"/>
                <a:cs typeface="Segoe UI" panose="020B0502040204020203" pitchFamily="34" charset="0"/>
              </a:rPr>
              <a:t>依類別列出函數的 </a:t>
            </a:r>
            <a:r>
              <a:rPr lang="zh-tw" sz="1100" b="1"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[函數庫]</a:t>
            </a:r>
            <a:r>
              <a:rPr lang="zh-tw" sz="1100" b="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，例如 </a:t>
            </a:r>
            <a:r>
              <a:rPr lang="zh-tw" sz="1100" b="1"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[文字]</a:t>
            </a:r>
            <a:r>
              <a:rPr lang="zh-tw" sz="1100" kern="1200" baseline="0">
                <a:solidFill>
                  <a:schemeClr val="dk1"/>
                </a:solidFill>
                <a:effectLst/>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kern="1200" baseline="0">
                <a:solidFill>
                  <a:schemeClr val="dk1"/>
                </a:solidFill>
                <a:effectLst/>
                <a:latin typeface="Microsoft JhengHei UI" panose="020B0604030504040204" pitchFamily="34" charset="-120"/>
                <a:ea typeface="Microsoft JhengHei UI" panose="020B0604030504040204" pitchFamily="34" charset="-120"/>
                <a:cs typeface="Segoe UI" panose="020B0502040204020203" pitchFamily="34" charset="0"/>
              </a:rPr>
              <a:t>[日期和時間]</a:t>
            </a:r>
            <a:r>
              <a:rPr lang="zh-tw" sz="1100" kern="1200" baseline="0">
                <a:solidFill>
                  <a:schemeClr val="dk1"/>
                </a:solidFill>
                <a:effectLst/>
                <a:latin typeface="Microsoft JhengHei UI" panose="020B0604030504040204" pitchFamily="34" charset="-120"/>
                <a:ea typeface="Microsoft JhengHei UI" panose="020B0604030504040204" pitchFamily="34" charset="-120"/>
                <a:cs typeface="Segoe UI" panose="020B0502040204020203" pitchFamily="34" charset="0"/>
              </a:rPr>
              <a:t>等。</a:t>
            </a:r>
            <a:r>
              <a:rPr lang="zh-tw" sz="1100" b="1" kern="1200" baseline="0">
                <a:solidFill>
                  <a:schemeClr val="dk1"/>
                </a:solidFill>
                <a:effectLst/>
                <a:latin typeface="Microsoft JhengHei UI" panose="020B0604030504040204" pitchFamily="34" charset="-120"/>
                <a:ea typeface="Microsoft JhengHei UI" panose="020B0604030504040204" pitchFamily="34" charset="-120"/>
                <a:cs typeface="Segoe UI" panose="020B0502040204020203" pitchFamily="34" charset="0"/>
              </a:rPr>
              <a:t>[插入函數]</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可讓您依名稱搜尋函數，並啟動可協助您建立公式的函數精靈。 </a:t>
            </a:r>
          </a:p>
          <a:p>
            <a:pPr lvl="0" rtl="0">
              <a:defRPr/>
            </a:pPr>
            <a:endParaRPr lang="en-US"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當您按下 </a:t>
            </a:r>
            <a:r>
              <a:rPr lang="zh-tw" sz="1100" b="1"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後開始輸入函數名稱時，</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Excel 會啟動 </a:t>
            </a:r>
            <a:r>
              <a:rPr lang="zh-tw" sz="1100" b="1"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IntelliSense</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，這會列出以您輸入之字母做為開頭的所有函數。找到想要的函數時，請按 Tab，而 Excel 會自動完成函數名稱，並為您輸入左括弧。它也會顯示選用和必要的引數。 </a:t>
            </a:r>
          </a:p>
          <a:p>
            <a:pPr lvl="0" rtl="0">
              <a:defRPr/>
            </a:pPr>
            <a:endParaRPr lang="en-US"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br>
              <a:rPr lang="en-US"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endParaRPr lang="en-US"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現在讓我們看看一些函數的結構。</a:t>
            </a:r>
            <a:r>
              <a:rPr lang="zh-tw" sz="1100" b="1"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SUM</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函數的結構如下：</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grpSp>
    <xdr:clientData/>
  </xdr:twoCellAnchor>
  <xdr:twoCellAnchor>
    <xdr:from>
      <xdr:col>1</xdr:col>
      <xdr:colOff>1086605</xdr:colOff>
      <xdr:row>34</xdr:row>
      <xdr:rowOff>96407</xdr:rowOff>
    </xdr:from>
    <xdr:to>
      <xdr:col>1</xdr:col>
      <xdr:colOff>3032611</xdr:colOff>
      <xdr:row>37</xdr:row>
      <xdr:rowOff>94021</xdr:rowOff>
    </xdr:to>
    <xdr:pic>
      <xdr:nvPicPr>
        <xdr:cNvPr id="213" name="圖片 212">
          <a:extLst>
            <a:ext uri="{FF2B5EF4-FFF2-40B4-BE49-F238E27FC236}">
              <a16:creationId xmlns:a16="http://schemas.microsoft.com/office/drawing/2014/main" id="{CF700F99-98FD-4493-86F6-BB31915BF069}"/>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xdr:blipFill>
      <xdr:spPr>
        <a:xfrm>
          <a:off x="2181980" y="7144907"/>
          <a:ext cx="1946006" cy="569114"/>
        </a:xfrm>
        <a:prstGeom prst="rect">
          <a:avLst/>
        </a:prstGeom>
      </xdr:spPr>
    </xdr:pic>
    <xdr:clientData/>
  </xdr:twoCellAnchor>
  <xdr:twoCellAnchor>
    <xdr:from>
      <xdr:col>1</xdr:col>
      <xdr:colOff>557897</xdr:colOff>
      <xdr:row>41</xdr:row>
      <xdr:rowOff>9526</xdr:rowOff>
    </xdr:from>
    <xdr:to>
      <xdr:col>1</xdr:col>
      <xdr:colOff>3790463</xdr:colOff>
      <xdr:row>50</xdr:row>
      <xdr:rowOff>85725</xdr:rowOff>
    </xdr:to>
    <xdr:grpSp>
      <xdr:nvGrpSpPr>
        <xdr:cNvPr id="214" name="群組 213">
          <a:extLst>
            <a:ext uri="{FF2B5EF4-FFF2-40B4-BE49-F238E27FC236}">
              <a16:creationId xmlns:a16="http://schemas.microsoft.com/office/drawing/2014/main" id="{FB827C73-8C3F-460A-9D51-BF988EA48D11}"/>
            </a:ext>
          </a:extLst>
        </xdr:cNvPr>
        <xdr:cNvGrpSpPr/>
      </xdr:nvGrpSpPr>
      <xdr:grpSpPr>
        <a:xfrm>
          <a:off x="1653272" y="8391526"/>
          <a:ext cx="3232566" cy="1790699"/>
          <a:chOff x="4319575" y="4314825"/>
          <a:chExt cx="3211514" cy="1790699"/>
        </a:xfrm>
      </xdr:grpSpPr>
      <xdr:sp macro="" textlink="">
        <xdr:nvSpPr>
          <xdr:cNvPr id="219" name="文字_公式" descr="=SUM(D38:D41) ">
            <a:extLst>
              <a:ext uri="{FF2B5EF4-FFF2-40B4-BE49-F238E27FC236}">
                <a16:creationId xmlns:a16="http://schemas.microsoft.com/office/drawing/2014/main" id="{7E312E8D-370B-4CB1-9C30-9E10D575E721}"/>
              </a:ext>
            </a:extLst>
          </xdr:cNvPr>
          <xdr:cNvSpPr txBox="1"/>
        </xdr:nvSpPr>
        <xdr:spPr>
          <a:xfrm>
            <a:off x="4386251" y="5705475"/>
            <a:ext cx="3132823" cy="4000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zh-tw" sz="2000">
                <a:solidFill>
                  <a:srgbClr val="000000"/>
                </a:solidFill>
                <a:effectLst/>
                <a:latin typeface="Courier New" panose="02070309020205020404" pitchFamily="49" charset="0"/>
                <a:ea typeface="Microsoft JhengHei UI" panose="020B0604030504040204" pitchFamily="34" charset="-120"/>
                <a:cs typeface="Courier New" panose="02070309020205020404" pitchFamily="49" charset="0"/>
              </a:rPr>
              <a:t>=SUM(D35:D38,H:H)</a:t>
            </a:r>
            <a:endParaRPr lang="en-US" sz="2000">
              <a:effectLst/>
              <a:latin typeface="Courier New" panose="02070309020205020404" pitchFamily="49" charset="0"/>
              <a:ea typeface="Microsoft JhengHei UI" panose="020B0604030504040204" pitchFamily="34" charset="-120"/>
              <a:cs typeface="Courier New" panose="02070309020205020404" pitchFamily="49" charset="0"/>
            </a:endParaRPr>
          </a:p>
        </xdr:txBody>
      </xdr:sp>
      <xdr:grpSp>
        <xdr:nvGrpSpPr>
          <xdr:cNvPr id="220" name="群組 219">
            <a:extLst>
              <a:ext uri="{FF2B5EF4-FFF2-40B4-BE49-F238E27FC236}">
                <a16:creationId xmlns:a16="http://schemas.microsoft.com/office/drawing/2014/main" id="{EA425C25-3538-467E-9C7D-913A4CCFBE52}"/>
              </a:ext>
            </a:extLst>
          </xdr:cNvPr>
          <xdr:cNvGrpSpPr/>
        </xdr:nvGrpSpPr>
        <xdr:grpSpPr>
          <a:xfrm>
            <a:off x="4319575" y="4314825"/>
            <a:ext cx="3211514" cy="1394627"/>
            <a:chOff x="4319575" y="4314825"/>
            <a:chExt cx="3211514" cy="1394627"/>
          </a:xfrm>
        </xdr:grpSpPr>
        <xdr:sp macro="" textlink="">
          <xdr:nvSpPr>
            <xdr:cNvPr id="221" name="公式上方大括弧">
              <a:extLst>
                <a:ext uri="{FF2B5EF4-FFF2-40B4-BE49-F238E27FC236}">
                  <a16:creationId xmlns:a16="http://schemas.microsoft.com/office/drawing/2014/main" id="{70C6032A-6C2C-406B-8451-B3D14C49A6BC}"/>
                </a:ext>
              </a:extLst>
            </xdr:cNvPr>
            <xdr:cNvSpPr/>
          </xdr:nvSpPr>
          <xdr:spPr>
            <a:xfrm rot="5400000">
              <a:off x="6360698" y="5216926"/>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2" name="公式上方大括弧">
              <a:extLst>
                <a:ext uri="{FF2B5EF4-FFF2-40B4-BE49-F238E27FC236}">
                  <a16:creationId xmlns:a16="http://schemas.microsoft.com/office/drawing/2014/main" id="{56068F5B-8EA0-44DA-8571-8698F744FFA6}"/>
                </a:ext>
              </a:extLst>
            </xdr:cNvPr>
            <xdr:cNvSpPr/>
          </xdr:nvSpPr>
          <xdr:spPr>
            <a:xfrm rot="5400000">
              <a:off x="5417725" y="4921652"/>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3" name="公式上方大括弧">
              <a:extLst>
                <a:ext uri="{FF2B5EF4-FFF2-40B4-BE49-F238E27FC236}">
                  <a16:creationId xmlns:a16="http://schemas.microsoft.com/office/drawing/2014/main" id="{B06AACB5-79F8-4B5A-828E-3C81B8A6126C}"/>
                </a:ext>
              </a:extLst>
            </xdr:cNvPr>
            <xdr:cNvSpPr/>
          </xdr:nvSpPr>
          <xdr:spPr>
            <a:xfrm rot="5400000">
              <a:off x="4536182" y="5202160"/>
              <a:ext cx="499277" cy="47720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24" name="文字_公式上方圖說文字" descr="函數名稱&#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函數名稱。</a:t>
              </a:r>
            </a:p>
          </xdr:txBody>
        </xdr:sp>
        <xdr:sp macro="" textlink="">
          <xdr:nvSpPr>
            <xdr:cNvPr id="225" name="文字_公式上方圖說文字" descr="第一個引數。幾乎一律是必要項目。&#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第一個引數。這幾乎都是必要的項目。</a:t>
              </a:r>
            </a:p>
          </xdr:txBody>
        </xdr:sp>
        <xdr:sp macro="" textlink="">
          <xdr:nvSpPr>
            <xdr:cNvPr id="226" name="文字_公式上方圖說文字" descr="額外的引數，以逗號 (,) 分隔。&#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額外的引數，以逗號 (,) 隔開。</a:t>
              </a:r>
            </a:p>
          </xdr:txBody>
        </xdr:sp>
      </xdr:grpSp>
    </xdr:grpSp>
    <xdr:clientData/>
  </xdr:twoCellAnchor>
  <xdr:twoCellAnchor>
    <xdr:from>
      <xdr:col>0</xdr:col>
      <xdr:colOff>547559</xdr:colOff>
      <xdr:row>50</xdr:row>
      <xdr:rowOff>85726</xdr:rowOff>
    </xdr:from>
    <xdr:to>
      <xdr:col>1</xdr:col>
      <xdr:colOff>4886326</xdr:colOff>
      <xdr:row>55</xdr:row>
      <xdr:rowOff>38100</xdr:rowOff>
    </xdr:to>
    <xdr:sp macro="" textlink="">
      <xdr:nvSpPr>
        <xdr:cNvPr id="215" name="文字_步驟" descr="如果 SUM 函數會說話，它會說：「傳回儲存格 D38 到 D41 中的所有值的加總，以及 H 整欄」。現在讓我們試試看不需要任何引數的公式。&#10;">
          <a:extLst>
            <a:ext uri="{FF2B5EF4-FFF2-40B4-BE49-F238E27FC236}">
              <a16:creationId xmlns:a16="http://schemas.microsoft.com/office/drawing/2014/main" id="{22A1C554-76ED-4E49-A496-849BD442214B}"/>
            </a:ext>
          </a:extLst>
        </xdr:cNvPr>
        <xdr:cNvSpPr txBox="1"/>
      </xdr:nvSpPr>
      <xdr:spPr>
        <a:xfrm>
          <a:off x="547559" y="10182226"/>
          <a:ext cx="5434142" cy="904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如果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函數會說話，它會說：「傳回儲存格 D35 到 D38 中的所有值的加總，以及 H 整欄」。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現在，讓我們試試看不需要任何引數的公式。</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xdr:twoCellAnchor>
  <xdr:twoCellAnchor>
    <xdr:from>
      <xdr:col>1</xdr:col>
      <xdr:colOff>612603</xdr:colOff>
      <xdr:row>55</xdr:row>
      <xdr:rowOff>76200</xdr:rowOff>
    </xdr:from>
    <xdr:to>
      <xdr:col>1</xdr:col>
      <xdr:colOff>3584403</xdr:colOff>
      <xdr:row>63</xdr:row>
      <xdr:rowOff>64498</xdr:rowOff>
    </xdr:to>
    <xdr:grpSp>
      <xdr:nvGrpSpPr>
        <xdr:cNvPr id="3" name="群組 2">
          <a:extLst>
            <a:ext uri="{FF2B5EF4-FFF2-40B4-BE49-F238E27FC236}">
              <a16:creationId xmlns:a16="http://schemas.microsoft.com/office/drawing/2014/main" id="{A1A853C7-B6EC-45D3-A4D6-9D928865ED9B}"/>
            </a:ext>
          </a:extLst>
        </xdr:cNvPr>
        <xdr:cNvGrpSpPr/>
      </xdr:nvGrpSpPr>
      <xdr:grpSpPr>
        <a:xfrm>
          <a:off x="1707978" y="11125200"/>
          <a:ext cx="2971800" cy="1512298"/>
          <a:chOff x="1736553" y="11125200"/>
          <a:chExt cx="2971800" cy="1512298"/>
        </a:xfrm>
      </xdr:grpSpPr>
      <xdr:sp macro="" textlink="">
        <xdr:nvSpPr>
          <xdr:cNvPr id="216" name="公式上方大括弧">
            <a:extLst>
              <a:ext uri="{FF2B5EF4-FFF2-40B4-BE49-F238E27FC236}">
                <a16:creationId xmlns:a16="http://schemas.microsoft.com/office/drawing/2014/main" id="{47A65F16-B2A6-46A3-B669-E6D2D5A6ECEB}"/>
              </a:ext>
            </a:extLst>
          </xdr:cNvPr>
          <xdr:cNvSpPr/>
        </xdr:nvSpPr>
        <xdr:spPr>
          <a:xfrm rot="5400000">
            <a:off x="2972815" y="11376139"/>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7" name="文字_公式" descr="=TODAY()">
            <a:extLst>
              <a:ext uri="{FF2B5EF4-FFF2-40B4-BE49-F238E27FC236}">
                <a16:creationId xmlns:a16="http://schemas.microsoft.com/office/drawing/2014/main" id="{22DC5E2D-9AE9-4EFE-B800-9356D8B70BA7}"/>
              </a:ext>
            </a:extLst>
          </xdr:cNvPr>
          <xdr:cNvSpPr txBox="1"/>
        </xdr:nvSpPr>
        <xdr:spPr>
          <a:xfrm>
            <a:off x="2560450" y="12106276"/>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zh-tw" sz="2000">
                <a:solidFill>
                  <a:srgbClr val="000000"/>
                </a:solidFill>
                <a:effectLst/>
                <a:latin typeface="Courier New" panose="02070309020205020404" pitchFamily="49" charset="0"/>
                <a:ea typeface="Microsoft JhengHei UI" panose="020B0604030504040204" pitchFamily="34" charset="-120"/>
                <a:cs typeface="Courier New" panose="02070309020205020404" pitchFamily="49" charset="0"/>
              </a:rPr>
              <a:t>=TODAY()</a:t>
            </a:r>
            <a:endParaRPr lang="en-US" sz="2000">
              <a:effectLst/>
              <a:latin typeface="Courier New" panose="02070309020205020404" pitchFamily="49" charset="0"/>
              <a:ea typeface="Microsoft JhengHei UI" panose="020B0604030504040204" pitchFamily="34" charset="-120"/>
              <a:cs typeface="Courier New" panose="02070309020205020404" pitchFamily="49" charset="0"/>
            </a:endParaRPr>
          </a:p>
        </xdr:txBody>
      </xdr:sp>
      <xdr:sp macro="" textlink="">
        <xdr:nvSpPr>
          <xdr:cNvPr id="218" name="文字_公式上方圖說文字" descr="TODAY 函數會傳回今天的日期。Excel 重新計算時它會自動更新。&#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0"/>
            <a:ext cx="2971800" cy="59054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b="1">
                <a:effectLst/>
                <a:latin typeface="Microsoft JhengHei UI" panose="020B0604030504040204" pitchFamily="34" charset="-120"/>
                <a:ea typeface="Microsoft JhengHei UI" panose="020B0604030504040204" pitchFamily="34" charset="-120"/>
                <a:cs typeface="Times New Roman" panose="02020603050405020304" pitchFamily="18" charset="0"/>
              </a:rPr>
              <a:t>TODAY</a:t>
            </a: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函數傳回今天的日期。它會在 Excel 重新計算時</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自動更新。</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grpSp>
    <xdr:clientData/>
  </xdr:twoCellAnchor>
  <xdr:twoCellAnchor>
    <xdr:from>
      <xdr:col>0</xdr:col>
      <xdr:colOff>342900</xdr:colOff>
      <xdr:row>0</xdr:row>
      <xdr:rowOff>352424</xdr:rowOff>
    </xdr:from>
    <xdr:to>
      <xdr:col>1</xdr:col>
      <xdr:colOff>5065125</xdr:colOff>
      <xdr:row>21</xdr:row>
      <xdr:rowOff>149366</xdr:rowOff>
    </xdr:to>
    <xdr:grpSp>
      <xdr:nvGrpSpPr>
        <xdr:cNvPr id="232" name="群組 231">
          <a:extLst>
            <a:ext uri="{FF2B5EF4-FFF2-40B4-BE49-F238E27FC236}">
              <a16:creationId xmlns:a16="http://schemas.microsoft.com/office/drawing/2014/main" id="{7A4FA281-7222-4655-A76E-27AE33A3FF1C}"/>
            </a:ext>
          </a:extLst>
        </xdr:cNvPr>
        <xdr:cNvGrpSpPr/>
      </xdr:nvGrpSpPr>
      <xdr:grpSpPr>
        <a:xfrm>
          <a:off x="342900" y="352424"/>
          <a:ext cx="5817600" cy="4368942"/>
          <a:chOff x="323850" y="276224"/>
          <a:chExt cx="5576744" cy="4200525"/>
        </a:xfrm>
      </xdr:grpSpPr>
      <xdr:sp macro="" textlink="">
        <xdr:nvSpPr>
          <xdr:cNvPr id="233" name="文字_導覽背景" descr="背景​​">
            <a:extLst>
              <a:ext uri="{FF2B5EF4-FFF2-40B4-BE49-F238E27FC236}">
                <a16:creationId xmlns:a16="http://schemas.microsoft.com/office/drawing/2014/main" id="{2E503384-DBF5-4D47-BF12-EEAC0918D4AA}"/>
              </a:ext>
            </a:extLst>
          </xdr:cNvPr>
          <xdr:cNvSpPr/>
        </xdr:nvSpPr>
        <xdr:spPr>
          <a:xfrm>
            <a:off x="323850" y="276224"/>
            <a:ext cx="5576744"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文字_導覽標頭" descr="函數簡介">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函數簡介</a:t>
            </a:r>
          </a:p>
        </xdr:txBody>
      </xdr:sp>
      <xdr:cxnSp macro="">
        <xdr:nvCxnSpPr>
          <xdr:cNvPr id="235" name="文字_導覽線條1" descr="裝飾線條">
            <a:extLst>
              <a:ext uri="{FF2B5EF4-FFF2-40B4-BE49-F238E27FC236}">
                <a16:creationId xmlns:a16="http://schemas.microsoft.com/office/drawing/2014/main" id="{B2C34DDE-3E39-4FB3-B22B-EE9DE303EF82}"/>
              </a:ext>
            </a:extLst>
          </xdr:cNvPr>
          <xdr:cNvCxnSpPr>
            <a:cxnSpLocks/>
          </xdr:cNvCxnSpPr>
        </xdr:nvCxnSpPr>
        <xdr:spPr>
          <a:xfrm>
            <a:off x="536578" y="897187"/>
            <a:ext cx="513502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文字_導覽線條2" descr="裝飾線條">
            <a:extLst>
              <a:ext uri="{FF2B5EF4-FFF2-40B4-BE49-F238E27FC236}">
                <a16:creationId xmlns:a16="http://schemas.microsoft.com/office/drawing/2014/main" id="{EEEF91CB-D253-4B04-B06F-EF082C03A170}"/>
              </a:ext>
            </a:extLst>
          </xdr:cNvPr>
          <xdr:cNvCxnSpPr>
            <a:cxnSpLocks/>
          </xdr:cNvCxnSpPr>
        </xdr:nvCxnSpPr>
        <xdr:spPr>
          <a:xfrm>
            <a:off x="536578" y="3697816"/>
            <a:ext cx="513502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文字_導覽簡介" descr="函數讓您能夠執行各種工作，例如執行數學運算、查詢值，或甚至計算日期和時間。讓我們試試看一些方法，使用 SUM 函數將值加總。&#10;">
            <a:extLst>
              <a:ext uri="{FF2B5EF4-FFF2-40B4-BE49-F238E27FC236}">
                <a16:creationId xmlns:a16="http://schemas.microsoft.com/office/drawing/2014/main" id="{D14E5F97-98FC-4309-B1F6-64DC7B7C29DE}"/>
              </a:ext>
            </a:extLst>
          </xdr:cNvPr>
          <xdr:cNvSpPr txBox="1"/>
        </xdr:nvSpPr>
        <xdr:spPr>
          <a:xfrm>
            <a:off x="543089" y="976391"/>
            <a:ext cx="5122194" cy="618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函數讓您能夠執行各種工作，例如執行數學運算、查詢值，或甚至計算日期和時間。讓我們試試看一些方法，使用 </a:t>
            </a: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a:t>
            </a: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函數將值加總。</a:t>
            </a:r>
          </a:p>
        </xdr:txBody>
      </xdr:sp>
      <xdr:grpSp>
        <xdr:nvGrpSpPr>
          <xdr:cNvPr id="238" name="圖形_步驟">
            <a:extLst>
              <a:ext uri="{FF2B5EF4-FFF2-40B4-BE49-F238E27FC236}">
                <a16:creationId xmlns:a16="http://schemas.microsoft.com/office/drawing/2014/main" id="{B0D2ED24-6683-4531-B8F5-0F2F4933BA4A}"/>
              </a:ext>
            </a:extLst>
          </xdr:cNvPr>
          <xdr:cNvGrpSpPr/>
        </xdr:nvGrpSpPr>
        <xdr:grpSpPr>
          <a:xfrm>
            <a:off x="542925" y="1537562"/>
            <a:ext cx="5295901" cy="725911"/>
            <a:chOff x="609600" y="7709762"/>
            <a:chExt cx="5261542" cy="725911"/>
          </a:xfrm>
        </xdr:grpSpPr>
        <xdr:sp macro="" textlink="">
          <xdr:nvSpPr>
            <xdr:cNvPr id="247" name="文字_步驟" descr="在「水果」的「數量」欄 (儲存格 D7) 底下，輸入 =SUM(D3:D6)，或輸入 =SUM(，然後使用滑鼠選取範圍，並按下 Enter。這會將儲存格 D3、D4、D5 和 D6 中的值加總。您的答案應該是 170。&#10;&#10;&#10;&#10;">
              <a:extLst>
                <a:ext uri="{FF2B5EF4-FFF2-40B4-BE49-F238E27FC236}">
                  <a16:creationId xmlns:a16="http://schemas.microsoft.com/office/drawing/2014/main" id="{810A5AB8-1BE7-4AA1-A49C-BD6D215DAFA4}"/>
                </a:ext>
              </a:extLst>
            </xdr:cNvPr>
            <xdr:cNvSpPr txBox="1"/>
          </xdr:nvSpPr>
          <xdr:spPr>
            <a:xfrm>
              <a:off x="1017295" y="7732670"/>
              <a:ext cx="4853847" cy="703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在「水果」的「數量」欄 (儲存格 D7) 底下，輸入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=SUM(D3:D6)</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，或輸入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，然後使用滑鼠選取範圍，並按下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Enter</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。這會將儲存格 D3、D4、D5 和 D6 中的值加總。答案應該是 170。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248" name="圖案_步驟" descr="1">
              <a:extLst>
                <a:ext uri="{FF2B5EF4-FFF2-40B4-BE49-F238E27FC236}">
                  <a16:creationId xmlns:a16="http://schemas.microsoft.com/office/drawing/2014/main" id="{F2FD6D3D-CB42-4E79-8228-3477BE73DC88}"/>
                </a:ext>
              </a:extLst>
            </xdr:cNvPr>
            <xdr:cNvSpPr/>
          </xdr:nvSpPr>
          <xdr:spPr>
            <a:xfrm>
              <a:off x="609600" y="7709762"/>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grpSp>
        <xdr:nvGrpSpPr>
          <xdr:cNvPr id="239" name="圖形_步驟">
            <a:extLst>
              <a:ext uri="{FF2B5EF4-FFF2-40B4-BE49-F238E27FC236}">
                <a16:creationId xmlns:a16="http://schemas.microsoft.com/office/drawing/2014/main" id="{D760DDB7-6B91-4E00-B2BE-F1BD6817C42A}"/>
              </a:ext>
            </a:extLst>
          </xdr:cNvPr>
          <xdr:cNvGrpSpPr/>
        </xdr:nvGrpSpPr>
        <xdr:grpSpPr>
          <a:xfrm>
            <a:off x="542925" y="2262188"/>
            <a:ext cx="5177141" cy="898752"/>
            <a:chOff x="609600" y="7896225"/>
            <a:chExt cx="5143553" cy="898752"/>
          </a:xfrm>
        </xdr:grpSpPr>
        <xdr:sp macro="" textlink="">
          <xdr:nvSpPr>
            <xdr:cNvPr id="245" name="文字_步驟" descr="現在讓我們試試看 [自動加總]。選取「肉品」欄底下的黃色儲存格 (儲存格 G7)，然後移至 [公式] &gt; [自動加總] &gt; 選取 SUM。您會看到 Excel 自動輸入公式。按 Enter 加以確認。[自動加總] 功能有所有最常用的函數。&#10;&#10;">
              <a:extLst>
                <a:ext uri="{FF2B5EF4-FFF2-40B4-BE49-F238E27FC236}">
                  <a16:creationId xmlns:a16="http://schemas.microsoft.com/office/drawing/2014/main" id="{C6CA8983-E35C-4984-9B4D-732042B193D4}"/>
                </a:ext>
              </a:extLst>
            </xdr:cNvPr>
            <xdr:cNvSpPr txBox="1"/>
          </xdr:nvSpPr>
          <xdr:spPr>
            <a:xfrm>
              <a:off x="1017295" y="7938183"/>
              <a:ext cx="4735858" cy="856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現在讓我們試試看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[自動加總]</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。選取「肉品」欄底下的黃色儲存格 (儲存格 G7)，然後移至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[公式]</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[自動加總]</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選取</a:t>
              </a:r>
              <a:r>
                <a:rPr lang="zh-TW" altLang="en-US"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加總</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。您會看到 Excel 自動輸入公式。按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Enter</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加以確認。</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[自動加總]</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功能有所有最常用的函數。</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246" name="圖案_步驟" descr="2">
              <a:extLst>
                <a:ext uri="{FF2B5EF4-FFF2-40B4-BE49-F238E27FC236}">
                  <a16:creationId xmlns:a16="http://schemas.microsoft.com/office/drawing/2014/main" id="{09967B0C-29E8-4781-A6FA-F5CB00C8AEBC}"/>
                </a:ext>
              </a:extLst>
            </xdr:cNvPr>
            <xdr:cNvSpPr/>
          </xdr:nvSpPr>
          <xdr:spPr>
            <a:xfrm>
              <a:off x="609600" y="789622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grpSp>
        <xdr:nvGrpSpPr>
          <xdr:cNvPr id="240" name="群組 239">
            <a:extLst>
              <a:ext uri="{FF2B5EF4-FFF2-40B4-BE49-F238E27FC236}">
                <a16:creationId xmlns:a16="http://schemas.microsoft.com/office/drawing/2014/main" id="{DCC331A5-B81B-407D-A604-3A6691EE3721}"/>
              </a:ext>
            </a:extLst>
          </xdr:cNvPr>
          <xdr:cNvGrpSpPr/>
        </xdr:nvGrpSpPr>
        <xdr:grpSpPr>
          <a:xfrm>
            <a:off x="542925" y="3143250"/>
            <a:ext cx="5234994" cy="503056"/>
            <a:chOff x="561975" y="2952750"/>
            <a:chExt cx="5234994" cy="503056"/>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561975" y="2952750"/>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242" name="步驟" descr="使用這個簡單的鍵盤快速鍵。選取儲存格 D15，然後按 Alt =，再按 Enter。這會自動輸入 SUM。&#10;">
              <a:extLst>
                <a:ext uri="{FF2B5EF4-FFF2-40B4-BE49-F238E27FC236}">
                  <a16:creationId xmlns:a16="http://schemas.microsoft.com/office/drawing/2014/main" id="{560D1E18-37A7-48F2-AA0C-0AF6088AF0AB}"/>
                </a:ext>
              </a:extLst>
            </xdr:cNvPr>
            <xdr:cNvSpPr txBox="1"/>
          </xdr:nvSpPr>
          <xdr:spPr>
            <a:xfrm>
              <a:off x="987453" y="2998241"/>
              <a:ext cx="4809516" cy="4575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使用這個簡單的鍵盤快速鍵。選取儲存格 D15.，然後按	  </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然後按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Enter</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。這會自動輸入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243" name="等於鍵" descr="等於鍵">
              <a:extLst>
                <a:ext uri="{FF2B5EF4-FFF2-40B4-BE49-F238E27FC236}">
                  <a16:creationId xmlns:a16="http://schemas.microsoft.com/office/drawing/2014/main" id="{CF33041B-BB98-41EE-BDDE-38D58DF9865E}"/>
                </a:ext>
              </a:extLst>
            </xdr:cNvPr>
            <xdr:cNvSpPr/>
          </xdr:nvSpPr>
          <xdr:spPr>
            <a:xfrm>
              <a:off x="4879589"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000">
                  <a:solidFill>
                    <a:schemeClr val="tx1"/>
                  </a:solidFill>
                  <a:latin typeface="Microsoft JhengHei UI" panose="020B0604030504040204" pitchFamily="34" charset="-120"/>
                  <a:ea typeface="Microsoft JhengHei UI" panose="020B0604030504040204" pitchFamily="34" charset="-120"/>
                </a:rPr>
                <a:t>=</a:t>
              </a:r>
              <a:endParaRPr lang="en-US" sz="900">
                <a:solidFill>
                  <a:schemeClr val="tx1"/>
                </a:solidFill>
                <a:latin typeface="Microsoft JhengHei UI" panose="020B0604030504040204" pitchFamily="34" charset="-120"/>
                <a:ea typeface="Microsoft JhengHei UI" panose="020B0604030504040204" pitchFamily="34" charset="-120"/>
              </a:endParaRPr>
            </a:p>
          </xdr:txBody>
        </xdr:sp>
        <xdr:sp macro="" textlink="">
          <xdr:nvSpPr>
            <xdr:cNvPr id="244" name="Alt 鍵" descr="Alt 鍵">
              <a:extLst>
                <a:ext uri="{FF2B5EF4-FFF2-40B4-BE49-F238E27FC236}">
                  <a16:creationId xmlns:a16="http://schemas.microsoft.com/office/drawing/2014/main" id="{0BFE17A4-7B91-43C3-90BB-12A4D5132A91}"/>
                </a:ext>
              </a:extLst>
            </xdr:cNvPr>
            <xdr:cNvSpPr/>
          </xdr:nvSpPr>
          <xdr:spPr>
            <a:xfrm>
              <a:off x="4387772" y="3029579"/>
              <a:ext cx="422585" cy="254524"/>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rPr>
                <a:t>Alt</a:t>
              </a:r>
              <a:endParaRPr lang="en-US" sz="800" spc="100" baseline="0">
                <a:solidFill>
                  <a:schemeClr val="tx1"/>
                </a:solidFill>
                <a:latin typeface="Microsoft JhengHei UI" panose="020B0604030504040204" pitchFamily="34" charset="-120"/>
                <a:ea typeface="Microsoft JhengHei UI" panose="020B0604030504040204" pitchFamily="34" charset="-120"/>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更多詳細資料] 按鈕" descr="向下瀏覽以取得更多詳細資料">
          <a:hlinkClick xmlns:r="http://schemas.openxmlformats.org/officeDocument/2006/relationships" r:id="rId17"/>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lientData/>
  </xdr:twoCellAnchor>
  <xdr:twoCellAnchor>
    <xdr:from>
      <xdr:col>1</xdr:col>
      <xdr:colOff>3716046</xdr:colOff>
      <xdr:row>18</xdr:row>
      <xdr:rowOff>85726</xdr:rowOff>
    </xdr:from>
    <xdr:to>
      <xdr:col>1</xdr:col>
      <xdr:colOff>4870476</xdr:colOff>
      <xdr:row>20</xdr:row>
      <xdr:rowOff>49625</xdr:rowOff>
    </xdr:to>
    <xdr:sp macro="" textlink="">
      <xdr:nvSpPr>
        <xdr:cNvPr id="250" name="[下一步] 按鈕" descr="[下一個步驟] 按鈕，附有移至下一個工作表的超連結">
          <a:hlinkClick xmlns:r="http://schemas.openxmlformats.org/officeDocument/2006/relationships" r:id="rId2" tooltip="按一下這裡前往下一個工作表"/>
          <a:extLst>
            <a:ext uri="{FF2B5EF4-FFF2-40B4-BE49-F238E27FC236}">
              <a16:creationId xmlns:a16="http://schemas.microsoft.com/office/drawing/2014/main" id="{08AAD723-1A75-444B-BF90-661FB4EE2F13}"/>
            </a:ext>
          </a:extLst>
        </xdr:cNvPr>
        <xdr:cNvSpPr/>
      </xdr:nvSpPr>
      <xdr:spPr>
        <a:xfrm>
          <a:off x="4811421" y="4086226"/>
          <a:ext cx="1154430"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942977</xdr:colOff>
      <xdr:row>15</xdr:row>
      <xdr:rowOff>9525</xdr:rowOff>
    </xdr:from>
    <xdr:to>
      <xdr:col>9</xdr:col>
      <xdr:colOff>168275</xdr:colOff>
      <xdr:row>24</xdr:row>
      <xdr:rowOff>123825</xdr:rowOff>
    </xdr:to>
    <xdr:grpSp>
      <xdr:nvGrpSpPr>
        <xdr:cNvPr id="50" name="群組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991727" y="3438525"/>
          <a:ext cx="3035298" cy="1828800"/>
          <a:chOff x="9048750" y="3743325"/>
          <a:chExt cx="2909468" cy="1828800"/>
        </a:xfrm>
      </xdr:grpSpPr>
      <xdr:sp macro="" textlink="">
        <xdr:nvSpPr>
          <xdr:cNvPr id="51" name="步驟"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666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panose="020B0502040204020203" pitchFamily="34" charset="0"/>
              </a:rPr>
              <a:t>祕笈</a:t>
            </a:r>
          </a:p>
          <a:p>
            <a:pPr lvl="0" rtl="0">
              <a:defRPr/>
            </a:pPr>
            <a:r>
              <a:rPr lang="zh-tw" sz="1100">
                <a:ea typeface="Microsoft JhengHei UI" panose="020B0604030504040204" pitchFamily="34" charset="-120"/>
              </a:rPr>
              <a:t>嘗試在這裡使用</a:t>
            </a:r>
            <a:r>
              <a:rPr lang="zh-tw" sz="1100" baseline="0">
                <a:ea typeface="Microsoft JhengHei UI" panose="020B0604030504040204" pitchFamily="34" charset="-120"/>
              </a:rPr>
              <a:t> </a:t>
            </a:r>
            <a:r>
              <a:rPr lang="zh-tw" sz="1100" b="1">
                <a:ea typeface="Microsoft JhengHei UI" panose="020B0604030504040204" pitchFamily="34" charset="-120"/>
              </a:rPr>
              <a:t>MEDIAN</a:t>
            </a:r>
            <a:r>
              <a:rPr lang="zh-tw" sz="1100">
                <a:ea typeface="Microsoft JhengHei UI" panose="020B0604030504040204" pitchFamily="34" charset="-120"/>
              </a:rPr>
              <a:t> 或 </a:t>
            </a:r>
            <a:r>
              <a:rPr lang="zh-tw" sz="1100" b="1">
                <a:ea typeface="Microsoft JhengHei UI" panose="020B0604030504040204" pitchFamily="34" charset="-120"/>
              </a:rPr>
              <a:t>MODE</a:t>
            </a:r>
            <a:r>
              <a:rPr lang="zh-tw" sz="1100">
                <a:ea typeface="Microsoft JhengHei UI" panose="020B0604030504040204" pitchFamily="34" charset="-120"/>
              </a:rPr>
              <a:t>。</a:t>
            </a:r>
            <a:r>
              <a:rPr lang="zh-tw" sz="1100" baseline="0">
                <a:ea typeface="Microsoft JhengHei UI" panose="020B0604030504040204" pitchFamily="34" charset="-120"/>
              </a:rPr>
              <a:t> </a:t>
            </a:r>
          </a:p>
          <a:p>
            <a:pPr lvl="0" rtl="0">
              <a:defRPr/>
            </a:pPr>
            <a:endParaRPr lang="en-US" sz="1100" baseline="0">
              <a:ea typeface="Microsoft JhengHei UI" panose="020B0604030504040204" pitchFamily="34" charset="-120"/>
            </a:endParaRPr>
          </a:p>
          <a:p>
            <a:pPr lvl="0" rtl="0">
              <a:defRPr/>
            </a:pPr>
            <a:r>
              <a:rPr lang="zh-tw" sz="1100" b="1" baseline="0">
                <a:ea typeface="Microsoft JhengHei UI" panose="020B0604030504040204" pitchFamily="34" charset="-120"/>
              </a:rPr>
              <a:t>MEDIAN</a:t>
            </a:r>
            <a:r>
              <a:rPr lang="zh-tw" sz="1100" baseline="0">
                <a:ea typeface="Microsoft JhengHei UI" panose="020B0604030504040204" pitchFamily="34" charset="-120"/>
              </a:rPr>
              <a:t> 會提供資料集中間的值，而 </a:t>
            </a:r>
          </a:p>
          <a:p>
            <a:pPr lvl="0" rtl="0">
              <a:defRPr/>
            </a:pPr>
            <a:r>
              <a:rPr lang="zh-tw" sz="1100" b="1" baseline="0">
                <a:ea typeface="Microsoft JhengHei UI" panose="020B0604030504040204" pitchFamily="34" charset="-120"/>
              </a:rPr>
              <a:t>MODE</a:t>
            </a:r>
            <a:r>
              <a:rPr lang="zh-tw" sz="1100" baseline="0">
                <a:ea typeface="Microsoft JhengHei UI" panose="020B0604030504040204" pitchFamily="34" charset="-120"/>
              </a:rPr>
              <a:t> 則提供最常出現的值。</a:t>
            </a:r>
            <a:endParaRPr lang="en-US" sz="1100">
              <a:ea typeface="Microsoft JhengHei UI" panose="020B0604030504040204" pitchFamily="34" charset="-120"/>
            </a:endParaRPr>
          </a:p>
        </xdr:txBody>
      </xdr:sp>
      <xdr:pic>
        <xdr:nvPicPr>
          <xdr:cNvPr id="52" name="祕笈勳章" descr="裝飾勳章">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祕笈箭號" descr="箭號">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上一個] 按鈕" descr="回到上一個工作表">
          <a:hlinkClick xmlns:r="http://schemas.openxmlformats.org/officeDocument/2006/relationships" r:id="rId3" tooltip="按一下這裡回到上一個工作表"/>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下一個] 按鈕" descr="前往下一個工作表">
          <a:hlinkClick xmlns:r="http://schemas.openxmlformats.org/officeDocument/2006/relationships" r:id="rId4" tooltip="按一下這裡前往下一個工作表"/>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a:t>
          </a:r>
        </a:p>
      </xdr:txBody>
    </xdr:sp>
    <xdr:clientData/>
  </xdr:twoCellAnchor>
  <xdr:twoCellAnchor>
    <xdr:from>
      <xdr:col>0</xdr:col>
      <xdr:colOff>323850</xdr:colOff>
      <xdr:row>16</xdr:row>
      <xdr:rowOff>161926</xdr:rowOff>
    </xdr:from>
    <xdr:to>
      <xdr:col>1</xdr:col>
      <xdr:colOff>5172075</xdr:colOff>
      <xdr:row>29</xdr:row>
      <xdr:rowOff>85725</xdr:rowOff>
    </xdr:to>
    <xdr:grpSp>
      <xdr:nvGrpSpPr>
        <xdr:cNvPr id="3" name="群組 2">
          <a:extLst>
            <a:ext uri="{FF2B5EF4-FFF2-40B4-BE49-F238E27FC236}">
              <a16:creationId xmlns:a16="http://schemas.microsoft.com/office/drawing/2014/main" id="{34477964-9438-41C6-89D0-AF7334519BC2}"/>
            </a:ext>
          </a:extLst>
        </xdr:cNvPr>
        <xdr:cNvGrpSpPr/>
      </xdr:nvGrpSpPr>
      <xdr:grpSpPr>
        <a:xfrm>
          <a:off x="323850" y="3781426"/>
          <a:ext cx="5943600" cy="2400299"/>
          <a:chOff x="323850" y="3781426"/>
          <a:chExt cx="5695950" cy="2400299"/>
        </a:xfrm>
      </xdr:grpSpPr>
      <xdr:sp macro="" textlink="">
        <xdr:nvSpPr>
          <xdr:cNvPr id="62" name="矩形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63" name="步驟" descr="更多網路上的資訊&#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Web 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64" name="直線接點 63" descr="裝飾線條">
            <a:extLst>
              <a:ext uri="{FF2B5EF4-FFF2-40B4-BE49-F238E27FC236}">
                <a16:creationId xmlns:a16="http://schemas.microsoft.com/office/drawing/2014/main" id="{78F5D1BC-989A-47DA-B5D1-2BEA7D8D2D8A}"/>
              </a:ext>
            </a:extLst>
          </xdr:cNvPr>
          <xdr:cNvCxnSpPr>
            <a:cxnSpLocks/>
          </xdr:cNvCxnSpPr>
        </xdr:nvCxnSpPr>
        <xdr:spPr>
          <a:xfrm>
            <a:off x="557084" y="43271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直線接點 64" descr="裝飾線條">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2286000</xdr:colOff>
      <xdr:row>21</xdr:row>
      <xdr:rowOff>118498</xdr:rowOff>
    </xdr:to>
    <xdr:grpSp>
      <xdr:nvGrpSpPr>
        <xdr:cNvPr id="4" name="群組 3">
          <a:extLst>
            <a:ext uri="{FF2B5EF4-FFF2-40B4-BE49-F238E27FC236}">
              <a16:creationId xmlns:a16="http://schemas.microsoft.com/office/drawing/2014/main" id="{2A2F1EF0-54C4-4E96-96D9-0F415372CF05}"/>
            </a:ext>
          </a:extLst>
        </xdr:cNvPr>
        <xdr:cNvGrpSpPr/>
      </xdr:nvGrpSpPr>
      <xdr:grpSpPr>
        <a:xfrm>
          <a:off x="533831" y="4331419"/>
          <a:ext cx="2847544" cy="359079"/>
          <a:chOff x="533831" y="4331419"/>
          <a:chExt cx="2866594" cy="359079"/>
        </a:xfrm>
      </xdr:grpSpPr>
      <xdr:sp macro="" textlink="">
        <xdr:nvSpPr>
          <xdr:cNvPr id="66" name="步驟" descr="深入了解 AVERAGE 函數，附有移至網路的超連結&#10;&#10;">
            <a:hlinkClick xmlns:r="http://schemas.openxmlformats.org/officeDocument/2006/relationships" r:id="rId5" tooltip="選取以從網路深入了解 AVERAGE 函數"/>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AVERAGE</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67" name="圖形 22" descr="箭號">
            <a:hlinkClick xmlns:r="http://schemas.openxmlformats.org/officeDocument/2006/relationships" r:id="rId5" tooltip="選取以從網路深入了解"/>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2276475</xdr:colOff>
      <xdr:row>23</xdr:row>
      <xdr:rowOff>117249</xdr:rowOff>
    </xdr:to>
    <xdr:grpSp>
      <xdr:nvGrpSpPr>
        <xdr:cNvPr id="5" name="群組 4">
          <a:extLst>
            <a:ext uri="{FF2B5EF4-FFF2-40B4-BE49-F238E27FC236}">
              <a16:creationId xmlns:a16="http://schemas.microsoft.com/office/drawing/2014/main" id="{8070DC97-C65B-4D56-B70E-5A742EA38D3C}"/>
            </a:ext>
          </a:extLst>
        </xdr:cNvPr>
        <xdr:cNvGrpSpPr/>
      </xdr:nvGrpSpPr>
      <xdr:grpSpPr>
        <a:xfrm>
          <a:off x="533831" y="4705860"/>
          <a:ext cx="2838019" cy="364389"/>
          <a:chOff x="533831" y="4705860"/>
          <a:chExt cx="2895169" cy="364389"/>
        </a:xfrm>
      </xdr:grpSpPr>
      <xdr:sp macro="" textlink="">
        <xdr:nvSpPr>
          <xdr:cNvPr id="68" name="步驟" descr="深入了解 COUNT 函數，附有移至網路的超連結&#10;">
            <a:hlinkClick xmlns:r="http://schemas.openxmlformats.org/officeDocument/2006/relationships" r:id="rId8" tooltip="選取以在網路上深入了解 MEDIAN 函數"/>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MEDIAN</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69" name="圖形 22" descr="箭號">
            <a:hlinkClick xmlns:r="http://schemas.openxmlformats.org/officeDocument/2006/relationships" r:id="rId8" tooltip="選取以從網路深入了解"/>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1857375</xdr:colOff>
      <xdr:row>25</xdr:row>
      <xdr:rowOff>125602</xdr:rowOff>
    </xdr:to>
    <xdr:grpSp>
      <xdr:nvGrpSpPr>
        <xdr:cNvPr id="6" name="群組 5">
          <a:extLst>
            <a:ext uri="{FF2B5EF4-FFF2-40B4-BE49-F238E27FC236}">
              <a16:creationId xmlns:a16="http://schemas.microsoft.com/office/drawing/2014/main" id="{3CA2605E-542A-4852-9719-D7B97D165AA8}"/>
            </a:ext>
          </a:extLst>
        </xdr:cNvPr>
        <xdr:cNvGrpSpPr/>
      </xdr:nvGrpSpPr>
      <xdr:grpSpPr>
        <a:xfrm>
          <a:off x="533831" y="5100523"/>
          <a:ext cx="2418919" cy="359079"/>
          <a:chOff x="533831" y="5100523"/>
          <a:chExt cx="2469354" cy="359079"/>
        </a:xfrm>
      </xdr:grpSpPr>
      <xdr:sp macro="" textlink="">
        <xdr:nvSpPr>
          <xdr:cNvPr id="70" name="步驟" descr="使用 Excel 作為計算機，附有移至網路的超連結&#10;">
            <a:hlinkClick xmlns:r="http://schemas.openxmlformats.org/officeDocument/2006/relationships" r:id="rId9" tooltip="選取以在網路上深入了解 MODE 函數"/>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MODE</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71" name="圖形 70" descr="箭號">
            <a:hlinkClick xmlns:r="http://schemas.openxmlformats.org/officeDocument/2006/relationships" r:id="rId9" tooltip="選取以從網路深入了解"/>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1924050</xdr:colOff>
      <xdr:row>27</xdr:row>
      <xdr:rowOff>139267</xdr:rowOff>
    </xdr:to>
    <xdr:grpSp>
      <xdr:nvGrpSpPr>
        <xdr:cNvPr id="7" name="群組 6">
          <a:extLst>
            <a:ext uri="{FF2B5EF4-FFF2-40B4-BE49-F238E27FC236}">
              <a16:creationId xmlns:a16="http://schemas.microsoft.com/office/drawing/2014/main" id="{73707755-F600-4512-81C1-EB2BE159BA8A}"/>
            </a:ext>
          </a:extLst>
        </xdr:cNvPr>
        <xdr:cNvGrpSpPr/>
      </xdr:nvGrpSpPr>
      <xdr:grpSpPr>
        <a:xfrm>
          <a:off x="546440" y="5489878"/>
          <a:ext cx="2472985" cy="364389"/>
          <a:chOff x="546440" y="5489878"/>
          <a:chExt cx="2504027" cy="364389"/>
        </a:xfrm>
      </xdr:grpSpPr>
      <xdr:sp macro="" textlink="">
        <xdr:nvSpPr>
          <xdr:cNvPr id="72" name="步驟" descr="免費的 Excel 線上訓練，附有移至網路的超連結&#10;">
            <a:hlinkClick xmlns:r="http://schemas.openxmlformats.org/officeDocument/2006/relationships" r:id="rId10" tooltip="選取以了解網路上免費的 Excel 訓練"/>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免費的 Excel 線上訓練</a:t>
            </a:r>
          </a:p>
        </xdr:txBody>
      </xdr:sp>
      <xdr:pic>
        <xdr:nvPicPr>
          <xdr:cNvPr id="73" name="圖形 22" descr="箭號">
            <a:hlinkClick xmlns:r="http://schemas.openxmlformats.org/officeDocument/2006/relationships" r:id="rId10" tooltip="選取以從網路深入了解"/>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5162550</xdr:colOff>
      <xdr:row>16</xdr:row>
      <xdr:rowOff>47625</xdr:rowOff>
    </xdr:to>
    <xdr:grpSp>
      <xdr:nvGrpSpPr>
        <xdr:cNvPr id="2" name="群組 1">
          <a:extLst>
            <a:ext uri="{FF2B5EF4-FFF2-40B4-BE49-F238E27FC236}">
              <a16:creationId xmlns:a16="http://schemas.microsoft.com/office/drawing/2014/main" id="{33E5237C-83C3-4564-93AA-DF5775431276}"/>
            </a:ext>
          </a:extLst>
        </xdr:cNvPr>
        <xdr:cNvGrpSpPr/>
      </xdr:nvGrpSpPr>
      <xdr:grpSpPr>
        <a:xfrm>
          <a:off x="333375" y="352425"/>
          <a:ext cx="5924550" cy="3314700"/>
          <a:chOff x="333375" y="352425"/>
          <a:chExt cx="5676900" cy="3314700"/>
        </a:xfrm>
      </xdr:grpSpPr>
      <xdr:sp macro="" textlink="">
        <xdr:nvSpPr>
          <xdr:cNvPr id="54" name="背景​​" descr="背景​​">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底部線條" descr="裝飾線條">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步驟" descr="AVERAGE 和 COUNT 函數">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1200">
                <a:solidFill>
                  <a:srgbClr val="3B3838"/>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AVERAGE 函數</a:t>
            </a:r>
            <a:endParaRPr kumimoji="0" lang="en-US" sz="2200" b="0" i="0" u="none" strike="noStrike" kern="0" cap="none" spc="0" normalizeH="0" baseline="0">
              <a:ln>
                <a:noFill/>
              </a:ln>
              <a:solidFill>
                <a:srgbClr val="3B3838"/>
              </a:solidFill>
              <a:effectLst/>
              <a:uLnTx/>
              <a:uFillTx/>
              <a:latin typeface="Microsoft JhengHei UI" panose="020B0604030504040204" pitchFamily="34" charset="-120"/>
              <a:ea typeface="Microsoft JhengHei UI" panose="020B0604030504040204" pitchFamily="34" charset="-120"/>
              <a:cs typeface="Courier New" panose="02070309020205020404" pitchFamily="49" charset="0"/>
            </a:endParaRPr>
          </a:p>
        </xdr:txBody>
      </xdr:sp>
      <xdr:sp macro="" textlink="">
        <xdr:nvSpPr>
          <xdr:cNvPr id="60" name="新增數值簡介"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kern="1200">
                <a:solidFill>
                  <a:schemeClr val="dk1"/>
                </a:solidFill>
                <a:latin typeface="Microsoft JhengHei UI" panose="020B0604030504040204" pitchFamily="34" charset="-120"/>
                <a:ea typeface="Microsoft JhengHei UI" panose="020B0604030504040204" pitchFamily="34" charset="-120"/>
                <a:cs typeface="Segoe UI" panose="020B0502040204020203" pitchFamily="34" charset="0"/>
              </a:rPr>
              <a:t>使用 </a:t>
            </a:r>
            <a:r>
              <a:rPr lang="zh-tw" sz="1100" b="1" kern="1200">
                <a:solidFill>
                  <a:schemeClr val="dk1"/>
                </a:solidFill>
                <a:latin typeface="Microsoft JhengHei UI" panose="020B0604030504040204" pitchFamily="34" charset="-120"/>
                <a:ea typeface="Microsoft JhengHei UI" panose="020B0604030504040204" pitchFamily="34" charset="-120"/>
                <a:cs typeface="Segoe UI" panose="020B0502040204020203" pitchFamily="34" charset="0"/>
              </a:rPr>
              <a:t>AVERAGE</a:t>
            </a:r>
            <a:r>
              <a:rPr lang="zh-tw" sz="1100" kern="1200">
                <a:solidFill>
                  <a:schemeClr val="dk1"/>
                </a:solidFill>
                <a:latin typeface="Microsoft JhengHei UI" panose="020B0604030504040204" pitchFamily="34" charset="-120"/>
                <a:ea typeface="Microsoft JhengHei UI" panose="020B0604030504040204" pitchFamily="34" charset="-120"/>
                <a:cs typeface="Segoe UI" panose="020B0502040204020203" pitchFamily="34" charset="0"/>
              </a:rPr>
              <a:t> 函數來取得儲存格範圍中的數值的平均值。</a:t>
            </a:r>
          </a:p>
        </xdr:txBody>
      </xdr:sp>
      <xdr:cxnSp macro="">
        <xdr:nvCxnSpPr>
          <xdr:cNvPr id="74" name="直線接點​ 73" descr="裝飾線條">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圖形_步驟">
            <a:extLst>
              <a:ext uri="{FF2B5EF4-FFF2-40B4-BE49-F238E27FC236}">
                <a16:creationId xmlns:a16="http://schemas.microsoft.com/office/drawing/2014/main" id="{337393F7-B1CB-40BB-9DB6-BE20F8463B0C}"/>
              </a:ext>
            </a:extLst>
          </xdr:cNvPr>
          <xdr:cNvGrpSpPr/>
        </xdr:nvGrpSpPr>
        <xdr:grpSpPr>
          <a:xfrm>
            <a:off x="542930" y="1228725"/>
            <a:ext cx="5236919" cy="593022"/>
            <a:chOff x="263059" y="1752333"/>
            <a:chExt cx="5245171" cy="603875"/>
          </a:xfrm>
        </xdr:grpSpPr>
        <xdr:sp macro="" textlink="">
          <xdr:nvSpPr>
            <xdr:cNvPr id="76" name="步驟" descr="按一下儲存格 D7，然後使用自動加總精靈來新增 AVERAGE 函數。&#10;">
              <a:extLst>
                <a:ext uri="{FF2B5EF4-FFF2-40B4-BE49-F238E27FC236}">
                  <a16:creationId xmlns:a16="http://schemas.microsoft.com/office/drawing/2014/main" id="{6F13119C-6E3E-4C36-B32B-49490A490EF6}"/>
                </a:ext>
              </a:extLst>
            </xdr:cNvPr>
            <xdr:cNvSpPr txBox="1"/>
          </xdr:nvSpPr>
          <xdr:spPr>
            <a:xfrm>
              <a:off x="698714"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選取儲存格 D7，然後使用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[自動加總]</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來新增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[平均值]</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6305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grpSp>
        <xdr:nvGrpSpPr>
          <xdr:cNvPr id="78" name="圖形_步驟">
            <a:extLst>
              <a:ext uri="{FF2B5EF4-FFF2-40B4-BE49-F238E27FC236}">
                <a16:creationId xmlns:a16="http://schemas.microsoft.com/office/drawing/2014/main" id="{09C24E64-BB63-463B-8648-CD8E2595E290}"/>
              </a:ext>
            </a:extLst>
          </xdr:cNvPr>
          <xdr:cNvGrpSpPr/>
        </xdr:nvGrpSpPr>
        <xdr:grpSpPr>
          <a:xfrm>
            <a:off x="533405" y="1785946"/>
            <a:ext cx="5246444" cy="614352"/>
            <a:chOff x="145889" y="1003336"/>
            <a:chExt cx="5254711" cy="625596"/>
          </a:xfrm>
        </xdr:grpSpPr>
        <xdr:sp macro="" textlink="">
          <xdr:nvSpPr>
            <xdr:cNvPr id="79" name="步驟" descr="現在按一下儲存格 G7，然後以手動的方式輸入 =COUNT(D3:D6) 來輸入 COUNT 函數。&#10;">
              <a:extLst>
                <a:ext uri="{FF2B5EF4-FFF2-40B4-BE49-F238E27FC236}">
                  <a16:creationId xmlns:a16="http://schemas.microsoft.com/office/drawing/2014/main" id="{2BDCA942-D2F9-4CA9-AA98-7ADE8728D2B6}"/>
                </a:ext>
              </a:extLst>
            </xdr:cNvPr>
            <xdr:cNvSpPr txBox="1"/>
          </xdr:nvSpPr>
          <xdr:spPr>
            <a:xfrm>
              <a:off x="591084" y="1007035"/>
              <a:ext cx="4809516" cy="621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現在選取儲存格 G7，然後輸入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=AVERAGE(G3:G6) </a:t>
              </a:r>
              <a:r>
                <a:rPr sz="1100">
                  <a:latin typeface="Microsoft JhengHei UI" panose="020B0604030504040204" pitchFamily="34" charset="-120"/>
                  <a:ea typeface="Microsoft JhengHei UI" panose="020B0604030504040204" pitchFamily="34" charset="-120"/>
                </a:rPr>
                <a:t>以輸入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AVERAGE</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4588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grpSp>
        <xdr:nvGrpSpPr>
          <xdr:cNvPr id="81" name="圖形_步驟">
            <a:extLst>
              <a:ext uri="{FF2B5EF4-FFF2-40B4-BE49-F238E27FC236}">
                <a16:creationId xmlns:a16="http://schemas.microsoft.com/office/drawing/2014/main" id="{AA044558-54FF-4FC4-BA5E-52BCE7820723}"/>
              </a:ext>
            </a:extLst>
          </xdr:cNvPr>
          <xdr:cNvGrpSpPr/>
        </xdr:nvGrpSpPr>
        <xdr:grpSpPr>
          <a:xfrm>
            <a:off x="533400" y="2395530"/>
            <a:ext cx="5293285" cy="596207"/>
            <a:chOff x="146717" y="1003336"/>
            <a:chExt cx="5250416" cy="603885"/>
          </a:xfrm>
        </xdr:grpSpPr>
        <xdr:sp macro="" textlink="">
          <xdr:nvSpPr>
            <xdr:cNvPr id="82" name="步驟" descr="在儲存格 D15 中，您可以使用自動加總精靈，或以手動的方式輸入 AVERAGE 或 COUNT 函數。 &#10;">
              <a:extLst>
                <a:ext uri="{FF2B5EF4-FFF2-40B4-BE49-F238E27FC236}">
                  <a16:creationId xmlns:a16="http://schemas.microsoft.com/office/drawing/2014/main" id="{3CD4882E-34FF-4391-9460-106057834DB5}"/>
                </a:ext>
              </a:extLst>
            </xdr:cNvPr>
            <xdr:cNvSpPr txBox="1"/>
          </xdr:nvSpPr>
          <xdr:spPr>
            <a:xfrm>
              <a:off x="587617"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在儲存格 D15 中，您可以使用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[自動加總]</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，或輸入以輸入另一個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[平均值]</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函數。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46717"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上一個] 按鈕" descr="回到上一個工作表">
          <a:hlinkClick xmlns:r="http://schemas.openxmlformats.org/officeDocument/2006/relationships" r:id="rId3" tooltip="按一下這裡回到上一個工作表"/>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absoluteAnchor>
  <xdr:absoluteAnchor>
    <xdr:pos x="4494261" y="3181350"/>
    <xdr:ext cx="1275170" cy="335449"/>
    <xdr:sp macro="" textlink="">
      <xdr:nvSpPr>
        <xdr:cNvPr id="41" name="[下一個] 按鈕" descr="前往下一個工作表">
          <a:hlinkClick xmlns:r="http://schemas.openxmlformats.org/officeDocument/2006/relationships" r:id="rId4" tooltip="按一下這裡前往下一個工作表"/>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absoluteAnchor>
  <xdr:twoCellAnchor editAs="absolute">
    <xdr:from>
      <xdr:col>7</xdr:col>
      <xdr:colOff>12696</xdr:colOff>
      <xdr:row>1</xdr:row>
      <xdr:rowOff>95250</xdr:rowOff>
    </xdr:from>
    <xdr:to>
      <xdr:col>10</xdr:col>
      <xdr:colOff>473061</xdr:colOff>
      <xdr:row>8</xdr:row>
      <xdr:rowOff>171451</xdr:rowOff>
    </xdr:to>
    <xdr:grpSp>
      <xdr:nvGrpSpPr>
        <xdr:cNvPr id="42" name="立即查看" descr="立即查看&#10;&#10;">
          <a:extLst>
            <a:ext uri="{FF2B5EF4-FFF2-40B4-BE49-F238E27FC236}">
              <a16:creationId xmlns:a16="http://schemas.microsoft.com/office/drawing/2014/main" id="{4F2C83E2-CCF8-46E7-9C89-FEAB092ACF14}"/>
            </a:ext>
          </a:extLst>
        </xdr:cNvPr>
        <xdr:cNvGrpSpPr/>
      </xdr:nvGrpSpPr>
      <xdr:grpSpPr>
        <a:xfrm>
          <a:off x="11347446" y="857250"/>
          <a:ext cx="2746365" cy="1409701"/>
          <a:chOff x="7539454" y="7993902"/>
          <a:chExt cx="2527034" cy="1409701"/>
        </a:xfrm>
      </xdr:grpSpPr>
      <xdr:grpSp>
        <xdr:nvGrpSpPr>
          <xdr:cNvPr id="43" name="括號行">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另一個括號行" descr="括號行">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47" name="括號行" descr="括號行&#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44" name="星星" descr="星星">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36889" cy="337815"/>
          </a:xfrm>
          <a:prstGeom prst="rect">
            <a:avLst/>
          </a:prstGeom>
        </xdr:spPr>
      </xdr:pic>
      <xdr:sp macro="" textlink="">
        <xdr:nvSpPr>
          <xdr:cNvPr id="45" name="說明"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097472"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立即查看</a:t>
            </a:r>
          </a:p>
          <a:p>
            <a:pPr lvl="0" rtl="0">
              <a:defRPr/>
            </a:pPr>
            <a:r>
              <a:rPr lang="zh-tw" sz="1100" kern="0">
                <a:solidFill>
                  <a:schemeClr val="bg2">
                    <a:lumMod val="25000"/>
                  </a:schemeClr>
                </a:solidFill>
                <a:latin typeface="+mn-lt"/>
                <a:ea typeface="Microsoft JhengHei UI" panose="020B0604030504040204" pitchFamily="34" charset="-120"/>
                <a:cs typeface="Segoe UI Light" panose="020B0502040204020203" pitchFamily="34" charset="0"/>
              </a:rPr>
              <a:t>選取任何數值範圍</a:t>
            </a:r>
            <a:r>
              <a:rPr lang="zh-tw" sz="1100" kern="0" baseline="0">
                <a:solidFill>
                  <a:schemeClr val="bg2">
                    <a:lumMod val="25000"/>
                  </a:schemeClr>
                </a:solidFill>
                <a:latin typeface="+mn-lt"/>
                <a:ea typeface="Microsoft JhengHei UI" panose="020B0604030504040204" pitchFamily="34" charset="-120"/>
                <a:cs typeface="Segoe UI Light" panose="020B0502040204020203" pitchFamily="34" charset="0"/>
              </a:rPr>
              <a:t>，然後在狀態列中立即查看平均值。</a:t>
            </a:r>
            <a:endParaRPr lang="en-US" sz="1100">
              <a:solidFill>
                <a:schemeClr val="bg2">
                  <a:lumMod val="25000"/>
                </a:schemeClr>
              </a:solidFill>
              <a:latin typeface="+mn-lt"/>
              <a:ea typeface="Microsoft JhengHei UI" panose="020B0604030504040204" pitchFamily="34" charset="-12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底部線條" descr="裝飾線條">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342900</xdr:colOff>
      <xdr:row>0</xdr:row>
      <xdr:rowOff>352425</xdr:rowOff>
    </xdr:from>
    <xdr:to>
      <xdr:col>1</xdr:col>
      <xdr:colOff>5172075</xdr:colOff>
      <xdr:row>16</xdr:row>
      <xdr:rowOff>123825</xdr:rowOff>
    </xdr:to>
    <xdr:sp macro="" textlink="">
      <xdr:nvSpPr>
        <xdr:cNvPr id="10" name="背景​​" descr="背景​​">
          <a:extLst>
            <a:ext uri="{FF2B5EF4-FFF2-40B4-BE49-F238E27FC236}">
              <a16:creationId xmlns:a16="http://schemas.microsoft.com/office/drawing/2014/main" id="{CB9819E8-3CD0-4C0B-A61A-2C34908D539E}"/>
            </a:ext>
          </a:extLst>
        </xdr:cNvPr>
        <xdr:cNvSpPr/>
      </xdr:nvSpPr>
      <xdr:spPr>
        <a:xfrm>
          <a:off x="342900" y="352425"/>
          <a:ext cx="567690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步驟" descr="MIN 和 MAX 函數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1200">
              <a:solidFill>
                <a:srgbClr val="3B3838"/>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MIN 和 MAX 函數 </a:t>
          </a:r>
          <a:endParaRPr kumimoji="0" lang="en-US" sz="2200" b="0" i="0" u="none" strike="noStrike" kern="0" cap="none" spc="0" normalizeH="0" baseline="0">
            <a:ln>
              <a:noFill/>
            </a:ln>
            <a:solidFill>
              <a:srgbClr val="3B3838"/>
            </a:solidFill>
            <a:effectLst/>
            <a:uLnTx/>
            <a:uFillTx/>
            <a:latin typeface="Microsoft JhengHei UI" panose="020B0604030504040204" pitchFamily="34" charset="-120"/>
            <a:ea typeface="Microsoft JhengHei UI" panose="020B0604030504040204" pitchFamily="34" charset="-12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底部線條" descr="裝飾線條">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571505</xdr:colOff>
      <xdr:row>4</xdr:row>
      <xdr:rowOff>109544</xdr:rowOff>
    </xdr:from>
    <xdr:to>
      <xdr:col>1</xdr:col>
      <xdr:colOff>4941642</xdr:colOff>
      <xdr:row>7</xdr:row>
      <xdr:rowOff>131066</xdr:rowOff>
    </xdr:to>
    <xdr:grpSp>
      <xdr:nvGrpSpPr>
        <xdr:cNvPr id="16" name="圖形_步驟">
          <a:extLst>
            <a:ext uri="{FF2B5EF4-FFF2-40B4-BE49-F238E27FC236}">
              <a16:creationId xmlns:a16="http://schemas.microsoft.com/office/drawing/2014/main" id="{ACD1828C-DCA0-413C-9B03-AC8C886B868F}"/>
            </a:ext>
          </a:extLst>
        </xdr:cNvPr>
        <xdr:cNvGrpSpPr/>
      </xdr:nvGrpSpPr>
      <xdr:grpSpPr>
        <a:xfrm>
          <a:off x="571505" y="1443044"/>
          <a:ext cx="5465512" cy="593022"/>
          <a:chOff x="425239" y="1752333"/>
          <a:chExt cx="5226084" cy="603875"/>
        </a:xfrm>
      </xdr:grpSpPr>
      <xdr:sp macro="" textlink="">
        <xdr:nvSpPr>
          <xdr:cNvPr id="24" name="步驟" descr="選取儲存格 D7，然後使用自動加總精靈來新增 MIN 函數。&#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選取儲存格 D7，然後使用自動加總精靈來新增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[最小值]</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clientData/>
  </xdr:twoCellAnchor>
  <xdr:twoCellAnchor>
    <xdr:from>
      <xdr:col>0</xdr:col>
      <xdr:colOff>561980</xdr:colOff>
      <xdr:row>7</xdr:row>
      <xdr:rowOff>57164</xdr:rowOff>
    </xdr:from>
    <xdr:to>
      <xdr:col>1</xdr:col>
      <xdr:colOff>4932123</xdr:colOff>
      <xdr:row>10</xdr:row>
      <xdr:rowOff>40595</xdr:rowOff>
    </xdr:to>
    <xdr:grpSp>
      <xdr:nvGrpSpPr>
        <xdr:cNvPr id="17" name="圖形_步驟">
          <a:extLst>
            <a:ext uri="{FF2B5EF4-FFF2-40B4-BE49-F238E27FC236}">
              <a16:creationId xmlns:a16="http://schemas.microsoft.com/office/drawing/2014/main" id="{C6DE3E57-FFF3-4FAC-B4DB-48087863CEA8}"/>
            </a:ext>
          </a:extLst>
        </xdr:cNvPr>
        <xdr:cNvGrpSpPr/>
      </xdr:nvGrpSpPr>
      <xdr:grpSpPr>
        <a:xfrm>
          <a:off x="561980" y="1962164"/>
          <a:ext cx="5465518" cy="554931"/>
          <a:chOff x="308069" y="1003336"/>
          <a:chExt cx="5226090" cy="565088"/>
        </a:xfrm>
      </xdr:grpSpPr>
      <xdr:sp macro="" textlink="">
        <xdr:nvSpPr>
          <xdr:cNvPr id="22" name="步驟" descr="現在選取儲存格 G7，然後輸入 =MAX(D3:D6) 以輸入 MAX 函數。&#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現在選取儲存格 G7，然後輸入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=MAX(</a:t>
            </a:r>
            <a:r>
              <a:rPr lang="en-US" alt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G</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3:</a:t>
            </a:r>
            <a:r>
              <a:rPr lang="en-US" alt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G</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6)</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以輸入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MAX</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clientData/>
  </xdr:twoCellAnchor>
  <xdr:twoCellAnchor>
    <xdr:from>
      <xdr:col>0</xdr:col>
      <xdr:colOff>571500</xdr:colOff>
      <xdr:row>1</xdr:row>
      <xdr:rowOff>133348</xdr:rowOff>
    </xdr:from>
    <xdr:to>
      <xdr:col>1</xdr:col>
      <xdr:colOff>5024713</xdr:colOff>
      <xdr:row>3</xdr:row>
      <xdr:rowOff>190499</xdr:rowOff>
    </xdr:to>
    <xdr:sp macro="" textlink="">
      <xdr:nvSpPr>
        <xdr:cNvPr id="18" name="新增數值簡介"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8"/>
          <a:ext cx="5300938" cy="4381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kern="12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使用 </a:t>
          </a:r>
          <a:r>
            <a:rPr lang="zh-tw" sz="1100" b="1" kern="12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MIN</a:t>
          </a:r>
          <a:r>
            <a:rPr lang="zh-tw" sz="1100" kern="12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函數來取得儲存格範圍中的最小數值。</a:t>
          </a:r>
        </a:p>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使用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MAX</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函數來取得儲存格範圍中的最大數值。</a:t>
          </a:r>
        </a:p>
      </xdr:txBody>
    </xdr:sp>
    <xdr:clientData/>
  </xdr:twoCellAnchor>
  <xdr:twoCellAnchor>
    <xdr:from>
      <xdr:col>0</xdr:col>
      <xdr:colOff>561975</xdr:colOff>
      <xdr:row>9</xdr:row>
      <xdr:rowOff>190499</xdr:rowOff>
    </xdr:from>
    <xdr:to>
      <xdr:col>1</xdr:col>
      <xdr:colOff>4982917</xdr:colOff>
      <xdr:row>13</xdr:row>
      <xdr:rowOff>24706</xdr:rowOff>
    </xdr:to>
    <xdr:grpSp>
      <xdr:nvGrpSpPr>
        <xdr:cNvPr id="19" name="圖形_步驟">
          <a:extLst>
            <a:ext uri="{FF2B5EF4-FFF2-40B4-BE49-F238E27FC236}">
              <a16:creationId xmlns:a16="http://schemas.microsoft.com/office/drawing/2014/main" id="{E19A8549-EA85-41D7-8F76-919D997AC5D5}"/>
            </a:ext>
          </a:extLst>
        </xdr:cNvPr>
        <xdr:cNvGrpSpPr/>
      </xdr:nvGrpSpPr>
      <xdr:grpSpPr>
        <a:xfrm>
          <a:off x="561975" y="2476499"/>
          <a:ext cx="5516317" cy="596207"/>
          <a:chOff x="307333" y="1003336"/>
          <a:chExt cx="5225997" cy="603885"/>
        </a:xfrm>
      </xdr:grpSpPr>
      <xdr:sp macro="" textlink="">
        <xdr:nvSpPr>
          <xdr:cNvPr id="20" name="步驟" descr="在儲存格 D15 中，您可以使用自動加總精靈，或手動輸入來輸入 MIN 或 MAX 函數。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在儲存格 D15 中，您可以使用自動加總精靈，或輸入以輸入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MIN</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或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MAX</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函數。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grpSp>
    <xdr:clientData/>
  </xdr:twoCellAnchor>
  <xdr:twoCellAnchor>
    <xdr:from>
      <xdr:col>0</xdr:col>
      <xdr:colOff>342900</xdr:colOff>
      <xdr:row>17</xdr:row>
      <xdr:rowOff>19051</xdr:rowOff>
    </xdr:from>
    <xdr:to>
      <xdr:col>1</xdr:col>
      <xdr:colOff>5191125</xdr:colOff>
      <xdr:row>28</xdr:row>
      <xdr:rowOff>1</xdr:rowOff>
    </xdr:to>
    <xdr:grpSp>
      <xdr:nvGrpSpPr>
        <xdr:cNvPr id="3" name="群組 2">
          <a:extLst>
            <a:ext uri="{FF2B5EF4-FFF2-40B4-BE49-F238E27FC236}">
              <a16:creationId xmlns:a16="http://schemas.microsoft.com/office/drawing/2014/main" id="{93BD323D-B807-4DC9-82D1-2419D0592459}"/>
            </a:ext>
          </a:extLst>
        </xdr:cNvPr>
        <xdr:cNvGrpSpPr/>
      </xdr:nvGrpSpPr>
      <xdr:grpSpPr>
        <a:xfrm>
          <a:off x="342900" y="3829051"/>
          <a:ext cx="5943600" cy="2076450"/>
          <a:chOff x="361950" y="4257676"/>
          <a:chExt cx="5695950" cy="2076450"/>
        </a:xfrm>
      </xdr:grpSpPr>
      <xdr:sp macro="" textlink="">
        <xdr:nvSpPr>
          <xdr:cNvPr id="27" name="矩形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28" name="步驟" descr="更多網路上的資訊&#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Web 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29" name="直線接點 28" descr="裝飾線條">
            <a:extLst>
              <a:ext uri="{FF2B5EF4-FFF2-40B4-BE49-F238E27FC236}">
                <a16:creationId xmlns:a16="http://schemas.microsoft.com/office/drawing/2014/main" id="{B3104255-0CEA-4FDA-A658-47296C06C36F}"/>
              </a:ext>
            </a:extLst>
          </xdr:cNvPr>
          <xdr:cNvCxnSpPr>
            <a:cxnSpLocks/>
          </xdr:cNvCxnSpPr>
        </xdr:nvCxnSpPr>
        <xdr:spPr>
          <a:xfrm>
            <a:off x="553932" y="48224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直線接點 29" descr="裝飾線條">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73744</xdr:rowOff>
    </xdr:from>
    <xdr:to>
      <xdr:col>1</xdr:col>
      <xdr:colOff>2371725</xdr:colOff>
      <xdr:row>22</xdr:row>
      <xdr:rowOff>51823</xdr:rowOff>
    </xdr:to>
    <xdr:grpSp>
      <xdr:nvGrpSpPr>
        <xdr:cNvPr id="6" name="群組 5">
          <a:extLst>
            <a:ext uri="{FF2B5EF4-FFF2-40B4-BE49-F238E27FC236}">
              <a16:creationId xmlns:a16="http://schemas.microsoft.com/office/drawing/2014/main" id="{FFCA9288-014C-4486-980E-27B20766EED2}"/>
            </a:ext>
          </a:extLst>
        </xdr:cNvPr>
        <xdr:cNvGrpSpPr/>
      </xdr:nvGrpSpPr>
      <xdr:grpSpPr>
        <a:xfrm>
          <a:off x="571931" y="4455244"/>
          <a:ext cx="2895169" cy="359079"/>
          <a:chOff x="571931" y="4826719"/>
          <a:chExt cx="2866594" cy="359079"/>
        </a:xfrm>
      </xdr:grpSpPr>
      <xdr:sp macro="" textlink="">
        <xdr:nvSpPr>
          <xdr:cNvPr id="31" name="步驟" descr="深入了解 MIN 函數，附有移至網路的超連結&#10;&#10;">
            <a:hlinkClick xmlns:r="http://schemas.openxmlformats.org/officeDocument/2006/relationships" r:id="rId1" tooltip="選取以在網路上深入了解 MIN 函數"/>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MIN</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32" name="圖形 22" descr="箭號">
            <a:hlinkClick xmlns:r="http://schemas.openxmlformats.org/officeDocument/2006/relationships" r:id="rId1" tooltip="選取以從網路深入了解"/>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571932</xdr:colOff>
      <xdr:row>22</xdr:row>
      <xdr:rowOff>59671</xdr:rowOff>
    </xdr:from>
    <xdr:to>
      <xdr:col>1</xdr:col>
      <xdr:colOff>2400301</xdr:colOff>
      <xdr:row>24</xdr:row>
      <xdr:rowOff>43060</xdr:rowOff>
    </xdr:to>
    <xdr:grpSp>
      <xdr:nvGrpSpPr>
        <xdr:cNvPr id="5" name="群組 4">
          <a:extLst>
            <a:ext uri="{FF2B5EF4-FFF2-40B4-BE49-F238E27FC236}">
              <a16:creationId xmlns:a16="http://schemas.microsoft.com/office/drawing/2014/main" id="{432B9DC1-07CB-4CB5-9408-142776FE3CE6}"/>
            </a:ext>
          </a:extLst>
        </xdr:cNvPr>
        <xdr:cNvGrpSpPr/>
      </xdr:nvGrpSpPr>
      <xdr:grpSpPr>
        <a:xfrm>
          <a:off x="571932" y="4822171"/>
          <a:ext cx="2923744" cy="364389"/>
          <a:chOff x="571931" y="5193646"/>
          <a:chExt cx="2895169" cy="364389"/>
        </a:xfrm>
      </xdr:grpSpPr>
      <xdr:sp macro="" textlink="">
        <xdr:nvSpPr>
          <xdr:cNvPr id="33" name="步驟" descr="深入了解 MAX 函數，附有移至網路的超連結&#10;">
            <a:hlinkClick xmlns:r="http://schemas.openxmlformats.org/officeDocument/2006/relationships" r:id="rId4" tooltip="選取以在網路上深入了解 MAX 函數"/>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MAX</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34" name="圖形 22" descr="箭號">
            <a:hlinkClick xmlns:r="http://schemas.openxmlformats.org/officeDocument/2006/relationships" r:id="rId4" tooltip="選取以從網路深入了解"/>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98728</xdr:rowOff>
    </xdr:from>
    <xdr:to>
      <xdr:col>1</xdr:col>
      <xdr:colOff>2000250</xdr:colOff>
      <xdr:row>26</xdr:row>
      <xdr:rowOff>82117</xdr:rowOff>
    </xdr:to>
    <xdr:grpSp>
      <xdr:nvGrpSpPr>
        <xdr:cNvPr id="4" name="群組 3">
          <a:extLst>
            <a:ext uri="{FF2B5EF4-FFF2-40B4-BE49-F238E27FC236}">
              <a16:creationId xmlns:a16="http://schemas.microsoft.com/office/drawing/2014/main" id="{742226DB-497C-49F5-B244-A06F92B322A2}"/>
            </a:ext>
          </a:extLst>
        </xdr:cNvPr>
        <xdr:cNvGrpSpPr/>
      </xdr:nvGrpSpPr>
      <xdr:grpSpPr>
        <a:xfrm>
          <a:off x="584540" y="5242228"/>
          <a:ext cx="2511085" cy="364389"/>
          <a:chOff x="584540" y="5613703"/>
          <a:chExt cx="2504027" cy="364389"/>
        </a:xfrm>
      </xdr:grpSpPr>
      <xdr:sp macro="" textlink="">
        <xdr:nvSpPr>
          <xdr:cNvPr id="37" name="步驟" descr="免費的 Excel 線上訓練，附有移至網路的超連結&#10;">
            <a:hlinkClick xmlns:r="http://schemas.openxmlformats.org/officeDocument/2006/relationships" r:id="rId5" tooltip="選取以了解網路上免費的 Excel 訓練"/>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免費的 Excel 線上訓練</a:t>
            </a:r>
          </a:p>
        </xdr:txBody>
      </xdr:sp>
      <xdr:pic>
        <xdr:nvPicPr>
          <xdr:cNvPr id="38" name="圖形 22" descr="箭號">
            <a:hlinkClick xmlns:r="http://schemas.openxmlformats.org/officeDocument/2006/relationships" r:id="rId5" tooltip="選取以從網路深入了解"/>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3</xdr:col>
      <xdr:colOff>895350</xdr:colOff>
      <xdr:row>15</xdr:row>
      <xdr:rowOff>152400</xdr:rowOff>
    </xdr:from>
    <xdr:to>
      <xdr:col>8</xdr:col>
      <xdr:colOff>28575</xdr:colOff>
      <xdr:row>25</xdr:row>
      <xdr:rowOff>96710</xdr:rowOff>
    </xdr:to>
    <xdr:grpSp>
      <xdr:nvGrpSpPr>
        <xdr:cNvPr id="39" name="不可不知" descr="不可不知&#10;&#10;">
          <a:extLst>
            <a:ext uri="{FF2B5EF4-FFF2-40B4-BE49-F238E27FC236}">
              <a16:creationId xmlns:a16="http://schemas.microsoft.com/office/drawing/2014/main" id="{1617705E-A557-408B-AB54-5DBE8291A7F8}"/>
            </a:ext>
          </a:extLst>
        </xdr:cNvPr>
        <xdr:cNvGrpSpPr/>
      </xdr:nvGrpSpPr>
      <xdr:grpSpPr>
        <a:xfrm>
          <a:off x="8601075" y="3581400"/>
          <a:ext cx="3524250" cy="1849310"/>
          <a:chOff x="6778625" y="15514765"/>
          <a:chExt cx="3312054" cy="1776285"/>
        </a:xfrm>
      </xdr:grpSpPr>
      <xdr:sp macro="" textlink="">
        <xdr:nvSpPr>
          <xdr:cNvPr id="40" name="步驟"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您可以在多個範圍或多個值中使用 </a:t>
            </a:r>
            <a:r>
              <a:rPr lang="zh-tw" sz="1100" b="1" i="0" kern="1200" baseline="0">
                <a:solidFill>
                  <a:schemeClr val="dk1"/>
                </a:solidFill>
                <a:effectLst/>
                <a:latin typeface="+mn-lt"/>
                <a:ea typeface="Microsoft JhengHei UI" panose="020B0604030504040204" pitchFamily="34" charset="-120"/>
                <a:cs typeface="+mn-cs"/>
              </a:rPr>
              <a:t>MIN</a:t>
            </a:r>
            <a:r>
              <a:rPr lang="zh-tw" sz="1100" b="0" i="0" kern="1200" baseline="0">
                <a:solidFill>
                  <a:schemeClr val="dk1"/>
                </a:solidFill>
                <a:effectLst/>
                <a:latin typeface="+mn-lt"/>
                <a:ea typeface="Microsoft JhengHei UI" panose="020B0604030504040204" pitchFamily="34" charset="-120"/>
                <a:cs typeface="+mn-cs"/>
              </a:rPr>
              <a:t> 或 </a:t>
            </a:r>
            <a:r>
              <a:rPr lang="zh-tw" sz="1100" b="1" i="0" kern="1200" baseline="0">
                <a:solidFill>
                  <a:schemeClr val="dk1"/>
                </a:solidFill>
                <a:effectLst/>
                <a:latin typeface="+mn-lt"/>
                <a:ea typeface="Microsoft JhengHei UI" panose="020B0604030504040204" pitchFamily="34" charset="-120"/>
                <a:cs typeface="+mn-cs"/>
              </a:rPr>
              <a:t>MAX</a:t>
            </a:r>
            <a:r>
              <a:rPr lang="zh-tw" sz="1100" b="0" i="0" kern="1200" baseline="0">
                <a:solidFill>
                  <a:schemeClr val="dk1"/>
                </a:solidFill>
                <a:effectLst/>
                <a:latin typeface="+mn-lt"/>
                <a:ea typeface="Microsoft JhengHei UI" panose="020B0604030504040204" pitchFamily="34" charset="-120"/>
                <a:cs typeface="+mn-cs"/>
              </a:rPr>
              <a:t>，來顯示大於或小於這些值的值，例如 =MIN(A1:A10,B1:B10) 或 =MAX(A1:A10,B1)，其中 B1 包含閾值 (例如 10)，在這種情況下，公式不會傳回小於 10 的結果。</a:t>
            </a:r>
            <a:endParaRPr lang="en-US" sz="1100">
              <a:effectLst/>
              <a:latin typeface="+mn-lt"/>
              <a:ea typeface="Microsoft JhengHei UI" panose="020B0604030504040204" pitchFamily="34" charset="-120"/>
            </a:endParaRPr>
          </a:p>
        </xdr:txBody>
      </xdr:sp>
      <xdr:pic>
        <xdr:nvPicPr>
          <xdr:cNvPr id="41" name="圖形 147" descr="眼鏡">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手繪多邊形：圖案 41" descr="箭號">
            <a:extLst>
              <a:ext uri="{FF2B5EF4-FFF2-40B4-BE49-F238E27FC236}">
                <a16:creationId xmlns:a16="http://schemas.microsoft.com/office/drawing/2014/main" id="{BD5A064F-A80A-499D-92F8-64D2BEDF69F1}"/>
              </a:ext>
            </a:extLst>
          </xdr:cNvPr>
          <xdr:cNvSpPr/>
        </xdr:nvSpPr>
        <xdr:spPr>
          <a:xfrm rot="5953034" flipV="1">
            <a:off x="820415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absoluteAnchor>
    <xdr:pos x="561975" y="3267075"/>
    <xdr:ext cx="1275170" cy="335449"/>
    <xdr:sp macro="" textlink="">
      <xdr:nvSpPr>
        <xdr:cNvPr id="43" name="[上一個] 按鈕" descr="回到上一個工作表">
          <a:hlinkClick xmlns:r="http://schemas.openxmlformats.org/officeDocument/2006/relationships" r:id="rId8" tooltip="按一下這裡回到上一個工作表"/>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absoluteAnchor>
  <xdr:absoluteAnchor>
    <xdr:pos x="4484736" y="3267075"/>
    <xdr:ext cx="1275170" cy="335449"/>
    <xdr:sp macro="" textlink="">
      <xdr:nvSpPr>
        <xdr:cNvPr id="44" name="[下一個] 按鈕" descr="前往下一個工作表">
          <a:hlinkClick xmlns:r="http://schemas.openxmlformats.org/officeDocument/2006/relationships" r:id="rId9" tooltip="按一下這裡前往下一個工作表"/>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底部線條" descr="裝飾線條">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628650</xdr:colOff>
      <xdr:row>11</xdr:row>
      <xdr:rowOff>173371</xdr:rowOff>
    </xdr:from>
    <xdr:to>
      <xdr:col>5</xdr:col>
      <xdr:colOff>647700</xdr:colOff>
      <xdr:row>20</xdr:row>
      <xdr:rowOff>155577</xdr:rowOff>
    </xdr:to>
    <xdr:grpSp>
      <xdr:nvGrpSpPr>
        <xdr:cNvPr id="110" name="不可不知"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7191375" y="3078496"/>
          <a:ext cx="4067175" cy="1706231"/>
          <a:chOff x="6778625" y="15449520"/>
          <a:chExt cx="3432175" cy="1638856"/>
        </a:xfrm>
      </xdr:grpSpPr>
      <xdr:sp macro="" textlink="">
        <xdr:nvSpPr>
          <xdr:cNvPr id="111" name="步驟"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422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Excel 會根據天數保存日期和時間 (從 1900 年 1 月 1 日起算)。時間會根據分鐘以一天的分數部分保存。因此，2017 年 1 月 1 日下午 12:30 其實是儲存為 42736.5208。如果 [時間] 或 [日期] 以像這樣的數值形式出現，您可以按 </a:t>
            </a:r>
            <a:r>
              <a:rPr lang="zh-tw" sz="1100" b="1" i="0" kern="1200" baseline="0">
                <a:solidFill>
                  <a:schemeClr val="dk1"/>
                </a:solidFill>
                <a:effectLst/>
                <a:latin typeface="+mn-lt"/>
                <a:ea typeface="Microsoft JhengHei UI" panose="020B0604030504040204" pitchFamily="34" charset="-120"/>
                <a:cs typeface="+mn-cs"/>
              </a:rPr>
              <a:t>Ctrl+1</a:t>
            </a:r>
            <a:r>
              <a:rPr lang="zh-tw" sz="1100" b="0" i="0" kern="1200" baseline="0">
                <a:solidFill>
                  <a:schemeClr val="dk1"/>
                </a:solidFill>
                <a:effectLst/>
                <a:latin typeface="+mn-lt"/>
                <a:ea typeface="Microsoft JhengHei UI" panose="020B0604030504040204" pitchFamily="34" charset="-120"/>
                <a:cs typeface="+mn-cs"/>
              </a:rPr>
              <a:t> &gt; </a:t>
            </a:r>
            <a:r>
              <a:rPr lang="zh-tw" sz="1100" b="1" i="0" kern="1200" baseline="0">
                <a:solidFill>
                  <a:schemeClr val="dk1"/>
                </a:solidFill>
                <a:effectLst/>
                <a:latin typeface="+mn-lt"/>
                <a:ea typeface="Microsoft JhengHei UI" panose="020B0604030504040204" pitchFamily="34" charset="-120"/>
                <a:cs typeface="+mn-cs"/>
              </a:rPr>
              <a:t>[數值]</a:t>
            </a:r>
            <a:r>
              <a:rPr lang="zh-tw" sz="1100" b="0" i="0" kern="1200" baseline="0">
                <a:solidFill>
                  <a:schemeClr val="dk1"/>
                </a:solidFill>
                <a:effectLst/>
                <a:latin typeface="+mn-lt"/>
                <a:ea typeface="Microsoft JhengHei UI" panose="020B0604030504040204" pitchFamily="34" charset="-120"/>
                <a:cs typeface="+mn-cs"/>
              </a:rPr>
              <a:t> &gt; 選取 </a:t>
            </a:r>
            <a:r>
              <a:rPr lang="zh-tw" sz="1100" b="1" i="0" kern="1200" baseline="0">
                <a:solidFill>
                  <a:schemeClr val="dk1"/>
                </a:solidFill>
                <a:effectLst/>
                <a:latin typeface="+mn-lt"/>
                <a:ea typeface="Microsoft JhengHei UI" panose="020B0604030504040204" pitchFamily="34" charset="-120"/>
                <a:cs typeface="+mn-cs"/>
              </a:rPr>
              <a:t>[日期]</a:t>
            </a:r>
            <a:r>
              <a:rPr lang="zh-tw" sz="1100" b="0" i="0" kern="1200" baseline="0">
                <a:solidFill>
                  <a:schemeClr val="dk1"/>
                </a:solidFill>
                <a:effectLst/>
                <a:latin typeface="+mn-lt"/>
                <a:ea typeface="Microsoft JhengHei UI" panose="020B0604030504040204" pitchFamily="34" charset="-120"/>
                <a:cs typeface="+mn-cs"/>
              </a:rPr>
              <a:t> 或 </a:t>
            </a:r>
            <a:r>
              <a:rPr lang="zh-tw" sz="1100" b="1" i="0" kern="1200" baseline="0">
                <a:solidFill>
                  <a:schemeClr val="dk1"/>
                </a:solidFill>
                <a:effectLst/>
                <a:latin typeface="+mn-lt"/>
                <a:ea typeface="Microsoft JhengHei UI" panose="020B0604030504040204" pitchFamily="34" charset="-120"/>
                <a:cs typeface="+mn-cs"/>
              </a:rPr>
              <a:t>[時間]</a:t>
            </a:r>
            <a:r>
              <a:rPr lang="zh-tw" sz="1100" b="0" i="0" kern="1200" baseline="0">
                <a:solidFill>
                  <a:schemeClr val="dk1"/>
                </a:solidFill>
                <a:effectLst/>
                <a:latin typeface="+mn-lt"/>
                <a:ea typeface="Microsoft JhengHei UI" panose="020B0604030504040204" pitchFamily="34" charset="-120"/>
                <a:cs typeface="+mn-cs"/>
              </a:rPr>
              <a:t> 格式。 </a:t>
            </a:r>
            <a:endParaRPr lang="en-US" sz="1100">
              <a:effectLst/>
              <a:latin typeface="+mn-lt"/>
              <a:ea typeface="Microsoft JhengHei UI" panose="020B0604030504040204" pitchFamily="34" charset="-120"/>
            </a:endParaRPr>
          </a:p>
        </xdr:txBody>
      </xdr:sp>
      <xdr:pic>
        <xdr:nvPicPr>
          <xdr:cNvPr id="112" name="圖形 147" descr="眼鏡">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手繪多邊形：圖案 112" descr="箭號">
            <a:extLst>
              <a:ext uri="{FF2B5EF4-FFF2-40B4-BE49-F238E27FC236}">
                <a16:creationId xmlns:a16="http://schemas.microsoft.com/office/drawing/2014/main" id="{70DF2B70-E9B4-4B83-9810-DBBCC80FDC11}"/>
              </a:ext>
            </a:extLst>
          </xdr:cNvPr>
          <xdr:cNvSpPr/>
        </xdr:nvSpPr>
        <xdr:spPr>
          <a:xfrm rot="5774257" flipV="1">
            <a:off x="7802939" y="15344818"/>
            <a:ext cx="284005" cy="49340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0</xdr:row>
      <xdr:rowOff>352425</xdr:rowOff>
    </xdr:from>
    <xdr:to>
      <xdr:col>1</xdr:col>
      <xdr:colOff>5064125</xdr:colOff>
      <xdr:row>17</xdr:row>
      <xdr:rowOff>88900</xdr:rowOff>
    </xdr:to>
    <xdr:grpSp>
      <xdr:nvGrpSpPr>
        <xdr:cNvPr id="2" name="群組 1">
          <a:extLst>
            <a:ext uri="{FF2B5EF4-FFF2-40B4-BE49-F238E27FC236}">
              <a16:creationId xmlns:a16="http://schemas.microsoft.com/office/drawing/2014/main" id="{9EC07B18-6CCC-4D21-8D16-EAC636990ABB}"/>
            </a:ext>
          </a:extLst>
        </xdr:cNvPr>
        <xdr:cNvGrpSpPr/>
      </xdr:nvGrpSpPr>
      <xdr:grpSpPr>
        <a:xfrm>
          <a:off x="342900" y="352425"/>
          <a:ext cx="5816600" cy="3794125"/>
          <a:chOff x="342900" y="352425"/>
          <a:chExt cx="5734050" cy="3810000"/>
        </a:xfrm>
      </xdr:grpSpPr>
      <xdr:sp macro="" textlink="">
        <xdr:nvSpPr>
          <xdr:cNvPr id="88" name="文字_導覽背景" descr="背景​​">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文字_導覽標頭" descr="Date 函數">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日期函數</a:t>
            </a:r>
            <a:endParaRPr kumimoji="0" lang="en-US"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Courier New" panose="02070309020205020404" pitchFamily="49" charset="0"/>
            </a:endParaRPr>
          </a:p>
        </xdr:txBody>
      </xdr:sp>
      <xdr:cxnSp macro="">
        <xdr:nvCxnSpPr>
          <xdr:cNvPr id="98" name="文字_導覽線條1" descr="裝飾線條">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文字_導覽線條2" descr="裝飾線條">
            <a:extLst>
              <a:ext uri="{FF2B5EF4-FFF2-40B4-BE49-F238E27FC236}">
                <a16:creationId xmlns:a16="http://schemas.microsoft.com/office/drawing/2014/main" id="{A8B37EE1-E313-4FB9-9B34-9B560124860A}"/>
              </a:ext>
            </a:extLst>
          </xdr:cNvPr>
          <xdr:cNvCxnSpPr>
            <a:cxnSpLocks/>
          </xdr:cNvCxnSpPr>
        </xdr:nvCxnSpPr>
        <xdr:spPr>
          <a:xfrm>
            <a:off x="546103" y="395762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文字_導覽簡介" descr="Excel 可以根據電腦的地區設定提供目前的日期。您也可以加上或減去日期。&#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Excel 可以根據您電腦的地區設定提供目前的日期。您也可以加上或減去日期。</a:t>
            </a:r>
          </a:p>
        </xdr:txBody>
      </xdr:sp>
      <xdr:grpSp>
        <xdr:nvGrpSpPr>
          <xdr:cNvPr id="105" name="圖形_步驟">
            <a:extLst>
              <a:ext uri="{FF2B5EF4-FFF2-40B4-BE49-F238E27FC236}">
                <a16:creationId xmlns:a16="http://schemas.microsoft.com/office/drawing/2014/main" id="{06FF7E03-9CF3-4BF2-97FA-A9B470E37530}"/>
              </a:ext>
            </a:extLst>
          </xdr:cNvPr>
          <xdr:cNvGrpSpPr/>
        </xdr:nvGrpSpPr>
        <xdr:grpSpPr>
          <a:xfrm>
            <a:off x="561975" y="1425584"/>
            <a:ext cx="5283359" cy="740887"/>
            <a:chOff x="600549" y="7655956"/>
            <a:chExt cx="5020450" cy="748179"/>
          </a:xfrm>
        </xdr:grpSpPr>
        <xdr:sp macro="" textlink="">
          <xdr:nvSpPr>
            <xdr:cNvPr id="106" name="文字_步驟" descr="查看可提供今天日期的 TODAY 函數。這些是即時、動態的函數，因此當您明天開啟活頁簿，它會變成明天的日期。在儲存格 D6 中輸入 =TODAY()。&#10;&#10;">
              <a:extLst>
                <a:ext uri="{FF2B5EF4-FFF2-40B4-BE49-F238E27FC236}">
                  <a16:creationId xmlns:a16="http://schemas.microsoft.com/office/drawing/2014/main" id="{2869B18E-B13C-49FB-B4C9-A2A2A69C0D27}"/>
                </a:ext>
              </a:extLst>
            </xdr:cNvPr>
            <xdr:cNvSpPr txBox="1"/>
          </xdr:nvSpPr>
          <xdr:spPr>
            <a:xfrm>
              <a:off x="1017295" y="7697914"/>
              <a:ext cx="4603704" cy="706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查看</a:t>
              </a:r>
              <a:r>
                <a:rPr sz="1100">
                  <a:latin typeface="Microsoft JhengHei UI" panose="020B0604030504040204" pitchFamily="34" charset="-120"/>
                  <a:ea typeface="Microsoft JhengHei UI" panose="020B0604030504040204" pitchFamily="34" charset="-120"/>
                </a:rPr>
                <a:t>提供今天的日期的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TODAY</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函數。這些是即時、動態的函數，因此當您明天開啟活頁簿時，它會變成明天的日期。在儲存格 D6 中輸入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=TODAY()</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07" name="圖案_步驟" descr="1">
              <a:extLst>
                <a:ext uri="{FF2B5EF4-FFF2-40B4-BE49-F238E27FC236}">
                  <a16:creationId xmlns:a16="http://schemas.microsoft.com/office/drawing/2014/main" id="{DAFBA7DB-90FE-4D29-BEDA-99F5C45CAE41}"/>
                </a:ext>
              </a:extLst>
            </xdr:cNvPr>
            <xdr:cNvSpPr/>
          </xdr:nvSpPr>
          <xdr:spPr>
            <a:xfrm>
              <a:off x="600549" y="7655956"/>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grpSp>
        <xdr:nvGrpSpPr>
          <xdr:cNvPr id="114" name="圖形_步驟" descr="減去日期：以 MM/DD/YY 格式輸入您下個生日，然後使用 =D7-D6，觀察 Excel 告訴您距離下個生日還有幾天。&#10;">
            <a:extLst>
              <a:ext uri="{FF2B5EF4-FFF2-40B4-BE49-F238E27FC236}">
                <a16:creationId xmlns:a16="http://schemas.microsoft.com/office/drawing/2014/main" id="{8949AC7E-881F-4686-B2D3-0D3D90D9B1DC}"/>
              </a:ext>
            </a:extLst>
          </xdr:cNvPr>
          <xdr:cNvGrpSpPr/>
        </xdr:nvGrpSpPr>
        <xdr:grpSpPr>
          <a:xfrm>
            <a:off x="561975" y="2084615"/>
            <a:ext cx="5245801" cy="615267"/>
            <a:chOff x="609600" y="7495354"/>
            <a:chExt cx="4993475" cy="596217"/>
          </a:xfrm>
        </xdr:grpSpPr>
        <xdr:sp macro="" textlink="">
          <xdr:nvSpPr>
            <xdr:cNvPr id="115" name="文字_步驟" descr="減去日期：以 MM/DD/YY 格式在儲存格 D7 中輸入您下個生日，然後在儲存格 D8 使用 =D7-D6，觀察 Excel 告訴您距離下個生日還有幾天。&#10;&#10;">
              <a:extLst>
                <a:ext uri="{FF2B5EF4-FFF2-40B4-BE49-F238E27FC236}">
                  <a16:creationId xmlns:a16="http://schemas.microsoft.com/office/drawing/2014/main" id="{674AF6D9-AA9C-4D64-BAE7-B4CD50116B71}"/>
                </a:ext>
              </a:extLst>
            </xdr:cNvPr>
            <xdr:cNvSpPr txBox="1"/>
          </xdr:nvSpPr>
          <xdr:spPr>
            <a:xfrm>
              <a:off x="1017295" y="7537322"/>
              <a:ext cx="458578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減去日期</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：以 MM/DD/YY 格式在儲存格 D7 中輸入您下一次的生日，然後在儲存格 D8 中使用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=D7-D6</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，看看 Excel 告訴您距離您下一次的生日還剩多少天。</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6" name="圖案_步驟" descr="2">
              <a:extLst>
                <a:ext uri="{FF2B5EF4-FFF2-40B4-BE49-F238E27FC236}">
                  <a16:creationId xmlns:a16="http://schemas.microsoft.com/office/drawing/2014/main" id="{E34DF662-0D83-4816-83DC-20F2E0EC0120}"/>
                </a:ext>
              </a:extLst>
            </xdr:cNvPr>
            <xdr:cNvSpPr/>
          </xdr:nvSpPr>
          <xdr:spPr>
            <a:xfrm>
              <a:off x="609600" y="7495354"/>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grpSp>
        <xdr:nvGrpSpPr>
          <xdr:cNvPr id="117" name="圖形_步驟">
            <a:extLst>
              <a:ext uri="{FF2B5EF4-FFF2-40B4-BE49-F238E27FC236}">
                <a16:creationId xmlns:a16="http://schemas.microsoft.com/office/drawing/2014/main" id="{8475192F-E42A-4700-8E84-BC6112DACD7C}"/>
              </a:ext>
            </a:extLst>
          </xdr:cNvPr>
          <xdr:cNvGrpSpPr/>
        </xdr:nvGrpSpPr>
        <xdr:grpSpPr>
          <a:xfrm>
            <a:off x="561977" y="2904648"/>
            <a:ext cx="5142509" cy="894728"/>
            <a:chOff x="627640" y="7697532"/>
            <a:chExt cx="4869611" cy="880659"/>
          </a:xfrm>
        </xdr:grpSpPr>
        <xdr:sp macro="" textlink="">
          <xdr:nvSpPr>
            <xdr:cNvPr id="118" name="文字_步驟" descr="加上日期：假設您想要知道帳單的到期日，或是何時需要歸還圖書館的書籍。您可以在某個日期加上天數來得知。在儲存格 D10 中，輸入隨機的天數。在儲存格 D11 中，我們新增上 =D6+D10 來計算到期日 (從今天起算)。&#10;&#10;">
              <a:extLst>
                <a:ext uri="{FF2B5EF4-FFF2-40B4-BE49-F238E27FC236}">
                  <a16:creationId xmlns:a16="http://schemas.microsoft.com/office/drawing/2014/main" id="{37BB0272-2987-4A11-B2B1-9F0CA7972BC1}"/>
                </a:ext>
              </a:extLst>
            </xdr:cNvPr>
            <xdr:cNvSpPr txBox="1"/>
          </xdr:nvSpPr>
          <xdr:spPr>
            <a:xfrm>
              <a:off x="1017295" y="7739490"/>
              <a:ext cx="4479956" cy="83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加上日期</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：假設您想要知道帳單的到期日，或是何時需要歸還圖書館的書籍。您可以對某個日期加上天數來了解這項資訊。在儲存格 D10 中，輸入隨機的天數。在儲存格 D11 中，我們已新增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=D6+D10</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來計算到期日 (從今天起算)。</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9" name="圖案_步驟" descr="3">
              <a:extLst>
                <a:ext uri="{FF2B5EF4-FFF2-40B4-BE49-F238E27FC236}">
                  <a16:creationId xmlns:a16="http://schemas.microsoft.com/office/drawing/2014/main" id="{824C0607-47BE-4C56-BBB4-6FA6522CE93B}"/>
                </a:ext>
              </a:extLst>
            </xdr:cNvPr>
            <xdr:cNvSpPr/>
          </xdr:nvSpPr>
          <xdr:spPr>
            <a:xfrm>
              <a:off x="627640" y="7697532"/>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grpSp>
    </xdr:grpSp>
    <xdr:clientData/>
  </xdr:twoCellAnchor>
  <xdr:twoCellAnchor editAs="absolute">
    <xdr:from>
      <xdr:col>0</xdr:col>
      <xdr:colOff>342900</xdr:colOff>
      <xdr:row>17</xdr:row>
      <xdr:rowOff>174625</xdr:rowOff>
    </xdr:from>
    <xdr:to>
      <xdr:col>1</xdr:col>
      <xdr:colOff>5064125</xdr:colOff>
      <xdr:row>60</xdr:row>
      <xdr:rowOff>118567</xdr:rowOff>
    </xdr:to>
    <xdr:grpSp>
      <xdr:nvGrpSpPr>
        <xdr:cNvPr id="3" name="群組 2">
          <a:extLst>
            <a:ext uri="{FF2B5EF4-FFF2-40B4-BE49-F238E27FC236}">
              <a16:creationId xmlns:a16="http://schemas.microsoft.com/office/drawing/2014/main" id="{1795FAE7-51BD-4A4A-B2DF-46B6749784D2}"/>
            </a:ext>
          </a:extLst>
        </xdr:cNvPr>
        <xdr:cNvGrpSpPr/>
      </xdr:nvGrpSpPr>
      <xdr:grpSpPr>
        <a:xfrm>
          <a:off x="342900" y="4232275"/>
          <a:ext cx="5816600" cy="8173542"/>
          <a:chOff x="342900" y="4248150"/>
          <a:chExt cx="5734050" cy="8404324"/>
        </a:xfrm>
      </xdr:grpSpPr>
      <xdr:grpSp>
        <xdr:nvGrpSpPr>
          <xdr:cNvPr id="120" name="群組 119">
            <a:extLst>
              <a:ext uri="{FF2B5EF4-FFF2-40B4-BE49-F238E27FC236}">
                <a16:creationId xmlns:a16="http://schemas.microsoft.com/office/drawing/2014/main" id="{30906B4C-C81D-469A-8247-06F91D944EB2}"/>
              </a:ext>
            </a:extLst>
          </xdr:cNvPr>
          <xdr:cNvGrpSpPr/>
        </xdr:nvGrpSpPr>
        <xdr:grpSpPr>
          <a:xfrm>
            <a:off x="342900" y="4248150"/>
            <a:ext cx="5734050" cy="8404324"/>
            <a:chOff x="352425" y="4591050"/>
            <a:chExt cx="5734050" cy="8058150"/>
          </a:xfrm>
        </xdr:grpSpPr>
        <xdr:sp macro="" textlink="">
          <xdr:nvSpPr>
            <xdr:cNvPr id="121" name="文字_導覽背景" descr="背景​​">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文字_導覽標頭" descr="Time 函數">
              <a:extLst>
                <a:ext uri="{FF2B5EF4-FFF2-40B4-BE49-F238E27FC236}">
                  <a16:creationId xmlns:a16="http://schemas.microsoft.com/office/drawing/2014/main" id="{E209722A-2C8C-4791-B9C1-5101AA32AB0A}"/>
                </a:ext>
              </a:extLst>
            </xdr:cNvPr>
            <xdr:cNvSpPr txBox="1"/>
          </xdr:nvSpPr>
          <xdr:spPr>
            <a:xfrm>
              <a:off x="589309" y="4691062"/>
              <a:ext cx="5222183" cy="480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時間函數</a:t>
              </a:r>
            </a:p>
          </xdr:txBody>
        </xdr:sp>
        <xdr:cxnSp macro="">
          <xdr:nvCxnSpPr>
            <xdr:cNvPr id="123" name="文字_導覽線條1" descr="裝飾線條">
              <a:extLst>
                <a:ext uri="{FF2B5EF4-FFF2-40B4-BE49-F238E27FC236}">
                  <a16:creationId xmlns:a16="http://schemas.microsoft.com/office/drawing/2014/main" id="{75A87590-4FA0-4D28-B7A3-E1F7CCD88B3B}"/>
                </a:ext>
              </a:extLst>
            </xdr:cNvPr>
            <xdr:cNvCxnSpPr>
              <a:cxnSpLocks/>
            </xdr:cNvCxnSpPr>
          </xdr:nvCxnSpPr>
          <xdr:spPr>
            <a:xfrm>
              <a:off x="589309" y="526256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文字_導覽線條2" descr="裝飾線條">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文字_導覽簡介" descr="Excel 可以根據您電腦的地區設定提供目前的時間。您也可以加上或減去時間。例如，您可能需要追蹤員工每週工作的時數，以及計算員工薪水和加班費。&#10;&#10;">
              <a:extLst>
                <a:ext uri="{FF2B5EF4-FFF2-40B4-BE49-F238E27FC236}">
                  <a16:creationId xmlns:a16="http://schemas.microsoft.com/office/drawing/2014/main" id="{D8BC11B9-1B82-45F8-A69B-BA51910C6977}"/>
                </a:ext>
              </a:extLst>
            </xdr:cNvPr>
            <xdr:cNvSpPr txBox="1"/>
          </xdr:nvSpPr>
          <xdr:spPr>
            <a:xfrm>
              <a:off x="586111" y="5294307"/>
              <a:ext cx="5222183" cy="667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Excel 可以根據您電腦的地區設定提供目前的時間。您也可以加上或減去時間。例如，您可能需要追蹤員工每週工作多少時數，以及計算其薪水和加班費。</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grpSp>
          <xdr:nvGrpSpPr>
            <xdr:cNvPr id="126" name="群組 125">
              <a:extLst>
                <a:ext uri="{FF2B5EF4-FFF2-40B4-BE49-F238E27FC236}">
                  <a16:creationId xmlns:a16="http://schemas.microsoft.com/office/drawing/2014/main" id="{51E7C080-AEB7-4E6C-8D70-3BBDC2303676}"/>
                </a:ext>
              </a:extLst>
            </xdr:cNvPr>
            <xdr:cNvGrpSpPr/>
          </xdr:nvGrpSpPr>
          <xdr:grpSpPr>
            <a:xfrm>
              <a:off x="581025" y="5973917"/>
              <a:ext cx="5264444" cy="5951383"/>
              <a:chOff x="7200900" y="1020917"/>
              <a:chExt cx="5264444" cy="5951383"/>
            </a:xfrm>
          </xdr:grpSpPr>
          <xdr:grpSp>
            <xdr:nvGrpSpPr>
              <xdr:cNvPr id="127" name="圖形_步驟">
                <a:extLst>
                  <a:ext uri="{FF2B5EF4-FFF2-40B4-BE49-F238E27FC236}">
                    <a16:creationId xmlns:a16="http://schemas.microsoft.com/office/drawing/2014/main" id="{AAE10329-58E6-4043-B19B-2070B24369C8}"/>
                  </a:ext>
                </a:extLst>
              </xdr:cNvPr>
              <xdr:cNvGrpSpPr/>
            </xdr:nvGrpSpPr>
            <xdr:grpSpPr>
              <a:xfrm>
                <a:off x="7200900" y="1020917"/>
                <a:ext cx="5206583" cy="720614"/>
                <a:chOff x="495420" y="7688417"/>
                <a:chExt cx="5201275" cy="720614"/>
              </a:xfrm>
            </xdr:grpSpPr>
            <xdr:sp macro="" textlink="">
              <xdr:nvSpPr>
                <xdr:cNvPr id="149" name="文字_步驟" descr="在儲存格 D28 中，輸入 =NOW()，這會提供目前的時間，而且會在 Excel 每次計算時更新。如果您需要變更 [時間] 格式，可移至 Ctrl+1 &gt; [數值] &gt; [時間] &gt; 選取您想要的格式。&#10;&#10;&#10;&#10;">
                  <a:extLst>
                    <a:ext uri="{FF2B5EF4-FFF2-40B4-BE49-F238E27FC236}">
                      <a16:creationId xmlns:a16="http://schemas.microsoft.com/office/drawing/2014/main" id="{E9EDD045-804A-43D1-9571-BDF7D36C6FD0}"/>
                    </a:ext>
                  </a:extLst>
                </xdr:cNvPr>
                <xdr:cNvSpPr txBox="1"/>
              </xdr:nvSpPr>
              <xdr:spPr>
                <a:xfrm>
                  <a:off x="918156" y="7730385"/>
                  <a:ext cx="4778539" cy="6786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在儲存格 D28 中，輸入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=NOW()</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，這會提供目前的時間，而且會在 Excel 每次計算時更新。如果您需要變更 [時間] 格式，您可以移至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Ctrl+1</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[數值]</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[時間]</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選取您想要的格式。</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50" name="圖案_步驟" descr="1">
                  <a:extLst>
                    <a:ext uri="{FF2B5EF4-FFF2-40B4-BE49-F238E27FC236}">
                      <a16:creationId xmlns:a16="http://schemas.microsoft.com/office/drawing/2014/main" id="{43143942-F7A9-4AD3-81E2-7C90A9BD32F5}"/>
                    </a:ext>
                  </a:extLst>
                </xdr:cNvPr>
                <xdr:cNvSpPr/>
              </xdr:nvSpPr>
              <xdr:spPr>
                <a:xfrm>
                  <a:off x="495420" y="7688417"/>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grpSp>
            <xdr:nvGrpSpPr>
              <xdr:cNvPr id="128" name="圖形_步驟">
                <a:extLst>
                  <a:ext uri="{FF2B5EF4-FFF2-40B4-BE49-F238E27FC236}">
                    <a16:creationId xmlns:a16="http://schemas.microsoft.com/office/drawing/2014/main" id="{FCFD70FD-C355-4B74-9752-B828C322CD76}"/>
                  </a:ext>
                </a:extLst>
              </xdr:cNvPr>
              <xdr:cNvGrpSpPr/>
            </xdr:nvGrpSpPr>
            <xdr:grpSpPr>
              <a:xfrm>
                <a:off x="7200900" y="1844651"/>
                <a:ext cx="5159775" cy="1249116"/>
                <a:chOff x="525612" y="7419975"/>
                <a:chExt cx="5511381" cy="1195615"/>
              </a:xfrm>
            </xdr:grpSpPr>
            <xdr:sp macro="" textlink="">
              <xdr:nvSpPr>
                <xdr:cNvPr id="147" name="文字_步驟" descr="將時間之間的時數加總：在儲存格 D36 中，我們已輸入 =((D35-D32)-(D34-D33))*24，這會計算某個人的開始和結束時間，然後減去他的午休時間。公式結尾的 *24 會將 Excel 顯示的一天的分數部分轉換為小時。不過您必須將儲存格的格式設定為 [數值]。若要這麼做，請移至 [常用] &gt; [格式] &gt; [儲存格] (Ctrl+1) &gt; [數值] &gt; [數值] &gt; 2 位數。&#10;&#10;&#10;">
                  <a:extLst>
                    <a:ext uri="{FF2B5EF4-FFF2-40B4-BE49-F238E27FC236}">
                      <a16:creationId xmlns:a16="http://schemas.microsoft.com/office/drawing/2014/main" id="{0EFBDF0F-AC77-476D-A83B-91831148AC0B}"/>
                    </a:ext>
                  </a:extLst>
                </xdr:cNvPr>
                <xdr:cNvSpPr txBox="1"/>
              </xdr:nvSpPr>
              <xdr:spPr>
                <a:xfrm>
                  <a:off x="977615" y="7459921"/>
                  <a:ext cx="5059378" cy="1155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將時間之間的時數加總</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：在儲存格 D36 中，我們已輸入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=((D35-D32)-(D34-D33))*24</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，這會計算某個人的開始和結束時間，然後減去他的午休時間。公式結尾的 *24 會將 Excel 顯示的一天的分數部分轉換為小時。不過您必須將儲存格的格式設定為 [數值]。若要這麼做，請移至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[常用]</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[設定儲存格格式]</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Ctrl+1</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[數值]</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[數值]</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2 小數位數。</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48" name="圖案_步驟"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grpSp>
            <xdr:nvGrpSpPr>
              <xdr:cNvPr id="129" name="圖形_步驟">
                <a:extLst>
                  <a:ext uri="{FF2B5EF4-FFF2-40B4-BE49-F238E27FC236}">
                    <a16:creationId xmlns:a16="http://schemas.microsoft.com/office/drawing/2014/main" id="{37BDA65B-35DA-46DF-B41B-4F13939916CE}"/>
                  </a:ext>
                </a:extLst>
              </xdr:cNvPr>
              <xdr:cNvGrpSpPr/>
            </xdr:nvGrpSpPr>
            <xdr:grpSpPr>
              <a:xfrm>
                <a:off x="7200900" y="3157543"/>
                <a:ext cx="5264444" cy="875277"/>
                <a:chOff x="525612" y="7419975"/>
                <a:chExt cx="5623183" cy="837788"/>
              </a:xfrm>
            </xdr:grpSpPr>
            <xdr:sp macro="" textlink="">
              <xdr:nvSpPr>
                <xdr:cNvPr id="145" name="文字_步驟" descr="如果此公式會說話，它會說：「取得「下班」並用「上班」減去「下班」，然後減去「午休開始」/「午休結束」時間，再將它們乘以 24，以將 Excel 的分數時間轉換為小時」，或 =((上班 - 下班)-(午休結束 - 午休開始))*24。">
                  <a:extLst>
                    <a:ext uri="{FF2B5EF4-FFF2-40B4-BE49-F238E27FC236}">
                      <a16:creationId xmlns:a16="http://schemas.microsoft.com/office/drawing/2014/main" id="{48EA3D5E-AB73-4DC6-A8F8-8EECF1D29572}"/>
                    </a:ext>
                  </a:extLst>
                </xdr:cNvPr>
                <xdr:cNvSpPr txBox="1"/>
              </xdr:nvSpPr>
              <xdr:spPr>
                <a:xfrm>
                  <a:off x="977614" y="7459922"/>
                  <a:ext cx="5171181" cy="797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如果此公式會說話，它會說：「取得「下班」並用「上班」減去「下班」，然後減去「午休開始」/「午休結束」時間，再將它們乘以 24，以將 Excel 的分數時間轉換為小時」，或 </a:t>
                  </a:r>
                  <a:r>
                    <a:rPr sz="1100">
                      <a:latin typeface="Microsoft JhengHei UI" panose="020B0604030504040204" pitchFamily="34" charset="-120"/>
                      <a:ea typeface="Microsoft JhengHei UI" panose="020B0604030504040204" pitchFamily="34" charset="-120"/>
                    </a:rPr>
                    <a:t>=</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((下班 - 上班)-(午休</a:t>
                  </a:r>
                  <a:r>
                    <a:rPr lang="zh-TW" altLang="en-US"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結束</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 午休</a:t>
                  </a:r>
                  <a:r>
                    <a:rPr lang="zh-TW" altLang="en-US"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開始</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))*24</a:t>
                  </a:r>
                  <a:r>
                    <a:rPr sz="1100">
                      <a:latin typeface="Microsoft JhengHei UI" panose="020B0604030504040204" pitchFamily="34" charset="-120"/>
                      <a:ea typeface="Microsoft JhengHei UI" panose="020B0604030504040204" pitchFamily="34" charset="-12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46" name="圖案_步驟"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grpSp>
          <xdr:grpSp>
            <xdr:nvGrpSpPr>
              <xdr:cNvPr id="130" name="群組 129">
                <a:extLst>
                  <a:ext uri="{FF2B5EF4-FFF2-40B4-BE49-F238E27FC236}">
                    <a16:creationId xmlns:a16="http://schemas.microsoft.com/office/drawing/2014/main" id="{DF713144-AD4F-445E-9EBF-373B4699DB59}"/>
                  </a:ext>
                </a:extLst>
              </xdr:cNvPr>
              <xdr:cNvGrpSpPr/>
            </xdr:nvGrpSpPr>
            <xdr:grpSpPr>
              <a:xfrm>
                <a:off x="7876912" y="4000501"/>
                <a:ext cx="4353190" cy="2971799"/>
                <a:chOff x="7797151" y="4047523"/>
                <a:chExt cx="4633394" cy="2819576"/>
              </a:xfrm>
            </xdr:grpSpPr>
            <xdr:sp macro="" textlink="">
              <xdr:nvSpPr>
                <xdr:cNvPr id="131" name="公式下方大括弧">
                  <a:extLst>
                    <a:ext uri="{FF2B5EF4-FFF2-40B4-BE49-F238E27FC236}">
                      <a16:creationId xmlns:a16="http://schemas.microsoft.com/office/drawing/2014/main" id="{A3F3B087-00D2-476D-AC4C-EB3A04318A49}"/>
                    </a:ext>
                  </a:extLst>
                </xdr:cNvPr>
                <xdr:cNvSpPr/>
              </xdr:nvSpPr>
              <xdr:spPr>
                <a:xfrm rot="16200000">
                  <a:off x="8913239" y="5096707"/>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2" name="公式上方大括弧">
                  <a:extLst>
                    <a:ext uri="{FF2B5EF4-FFF2-40B4-BE49-F238E27FC236}">
                      <a16:creationId xmlns:a16="http://schemas.microsoft.com/office/drawing/2014/main" id="{7C65B1CB-F7F0-4F37-A997-175F5CFFD7C0}"/>
                    </a:ext>
                  </a:extLst>
                </xdr:cNvPr>
                <xdr:cNvSpPr/>
              </xdr:nvSpPr>
              <xdr:spPr>
                <a:xfrm rot="5400000">
                  <a:off x="11358057" y="4491969"/>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3" name="公式上方大括弧">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4" name="文字_公式" descr="=((D35-D32)-(D34-D33))*24&#10;">
                  <a:extLst>
                    <a:ext uri="{FF2B5EF4-FFF2-40B4-BE49-F238E27FC236}">
                      <a16:creationId xmlns:a16="http://schemas.microsoft.com/office/drawing/2014/main" id="{6009CED5-1433-4E1F-B008-D29EAE95FC7A}"/>
                    </a:ext>
                  </a:extLst>
                </xdr:cNvPr>
                <xdr:cNvSpPr txBox="1"/>
              </xdr:nvSpPr>
              <xdr:spPr>
                <a:xfrm>
                  <a:off x="7797151" y="4930872"/>
                  <a:ext cx="4181474"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zh-tw" sz="2000">
                      <a:solidFill>
                        <a:srgbClr val="000000"/>
                      </a:solidFill>
                      <a:effectLst/>
                      <a:latin typeface="Courier New" panose="02070309020205020404" pitchFamily="49" charset="0"/>
                      <a:ea typeface="Microsoft JhengHei UI" panose="020B0604030504040204" pitchFamily="34" charset="-120"/>
                      <a:cs typeface="Courier New" panose="02070309020205020404" pitchFamily="49" charset="0"/>
                    </a:rPr>
                    <a:t>=((D35-D32)-(D34-D33))*24</a:t>
                  </a:r>
                  <a:endParaRPr lang="en-US" sz="2000">
                    <a:effectLst/>
                    <a:latin typeface="Courier New" panose="02070309020205020404" pitchFamily="49" charset="0"/>
                    <a:ea typeface="Microsoft JhengHei UI" panose="020B0604030504040204" pitchFamily="34" charset="-120"/>
                    <a:cs typeface="Courier New" panose="02070309020205020404" pitchFamily="49" charset="0"/>
                  </a:endParaRPr>
                </a:p>
              </xdr:txBody>
            </xdr:sp>
            <xdr:sp macro="" textlink="">
              <xdr:nvSpPr>
                <xdr:cNvPr id="135" name="文字_公式上方圖說文字" descr="下班&#10;&#10;">
                  <a:extLst>
                    <a:ext uri="{FF2B5EF4-FFF2-40B4-BE49-F238E27FC236}">
                      <a16:creationId xmlns:a16="http://schemas.microsoft.com/office/drawing/2014/main" id="{9F9E3A72-C781-4703-B4D3-DB7F87F8E5A1}"/>
                    </a:ext>
                  </a:extLst>
                </xdr:cNvPr>
                <xdr:cNvSpPr txBox="1">
                  <a:spLocks noChangeArrowheads="1"/>
                </xdr:cNvSpPr>
              </xdr:nvSpPr>
              <xdr:spPr bwMode="auto">
                <a:xfrm>
                  <a:off x="8039714" y="4338638"/>
                  <a:ext cx="893188" cy="274320"/>
                </a:xfrm>
                <a:prstGeom prst="rect">
                  <a:avLst/>
                </a:prstGeom>
                <a:solidFill>
                  <a:schemeClr val="accent1">
                    <a:lumMod val="20000"/>
                    <a:lumOff val="80000"/>
                  </a:schemeClr>
                </a:solidFill>
                <a:ln w="9525">
                  <a:noFill/>
                  <a:miter lim="800000"/>
                  <a:headEnd/>
                  <a:tailEnd/>
                </a:ln>
              </xdr:spPr>
              <xdr:txBody>
                <a:bodyPr rot="0" vert="horz" wrap="square" lIns="91440" tIns="36000" rIns="91440" bIns="45720" rtlCol="0" anchor="t" anchorCtr="0">
                  <a:noAutofit/>
                </a:bodyPr>
                <a:lstStyle/>
                <a:p>
                  <a:pPr marL="0" marR="0" algn="ctr" rtl="0">
                    <a:lnSpc>
                      <a:spcPct val="107000"/>
                    </a:lnSpc>
                    <a:spcBef>
                      <a:spcPts val="0"/>
                    </a:spcBef>
                    <a:spcAft>
                      <a:spcPts val="800"/>
                    </a:spcAft>
                  </a:pPr>
                  <a:r>
                    <a:rPr lang="zh-TW" alt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下班</a:t>
                  </a:r>
                  <a:endPar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sp macro="" textlink="">
              <xdr:nvSpPr>
                <xdr:cNvPr id="136" name="文字_公式上方圖說文字" descr="*24 以將 Excel 的一天的分數轉換為小時&#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*24 以將 Excel 的一天的分數轉換為小時</a:t>
                  </a:r>
                </a:p>
              </xdr:txBody>
            </xdr:sp>
            <xdr:sp macro="" textlink="">
              <xdr:nvSpPr>
                <xdr:cNvPr id="137" name="文字_公式下方圖說文字" descr="上班&#10;">
                  <a:extLst>
                    <a:ext uri="{FF2B5EF4-FFF2-40B4-BE49-F238E27FC236}">
                      <a16:creationId xmlns:a16="http://schemas.microsoft.com/office/drawing/2014/main" id="{5E5338FF-C2B1-4DA0-AE11-AC6DC9A18383}"/>
                    </a:ext>
                  </a:extLst>
                </xdr:cNvPr>
                <xdr:cNvSpPr txBox="1">
                  <a:spLocks noChangeArrowheads="1"/>
                </xdr:cNvSpPr>
              </xdr:nvSpPr>
              <xdr:spPr bwMode="auto">
                <a:xfrm>
                  <a:off x="8781582" y="5447441"/>
                  <a:ext cx="731521" cy="274320"/>
                </a:xfrm>
                <a:prstGeom prst="rect">
                  <a:avLst/>
                </a:prstGeom>
                <a:solidFill>
                  <a:srgbClr val="E2F0D9"/>
                </a:solidFill>
                <a:ln w="9525">
                  <a:noFill/>
                  <a:miter lim="800000"/>
                  <a:headEnd/>
                  <a:tailEnd/>
                </a:ln>
              </xdr:spPr>
              <xdr:txBody>
                <a:bodyPr rot="0" vert="horz" wrap="square" lIns="91440" tIns="36000" rIns="91440" bIns="45720" rtlCol="0" anchor="t" anchorCtr="0">
                  <a:noAutofit/>
                </a:bodyPr>
                <a:lstStyle/>
                <a:p>
                  <a:pPr marL="0" marR="0" indent="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上班</a:t>
                  </a:r>
                </a:p>
              </xdr:txBody>
            </xdr:sp>
            <xdr:sp macro="" textlink="">
              <xdr:nvSpPr>
                <xdr:cNvPr id="138" name="公式下方大括弧">
                  <a:extLst>
                    <a:ext uri="{FF2B5EF4-FFF2-40B4-BE49-F238E27FC236}">
                      <a16:creationId xmlns:a16="http://schemas.microsoft.com/office/drawing/2014/main" id="{A4A9F5A5-EF16-4EE5-91AA-7223F0B363A9}"/>
                    </a:ext>
                  </a:extLst>
                </xdr:cNvPr>
                <xdr:cNvSpPr/>
              </xdr:nvSpPr>
              <xdr:spPr>
                <a:xfrm rot="16200000">
                  <a:off x="10541562" y="511098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9" name="公式上方大括弧">
                  <a:extLst>
                    <a:ext uri="{FF2B5EF4-FFF2-40B4-BE49-F238E27FC236}">
                      <a16:creationId xmlns:a16="http://schemas.microsoft.com/office/drawing/2014/main" id="{E9FAA5E1-CE6E-4068-9309-7BEC7468CAD9}"/>
                    </a:ext>
                  </a:extLst>
                </xdr:cNvPr>
                <xdr:cNvSpPr/>
              </xdr:nvSpPr>
              <xdr:spPr>
                <a:xfrm rot="5400000">
                  <a:off x="9870149" y="4493231"/>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文字_公式上方圖說文字"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652708" y="4352914"/>
                  <a:ext cx="906942" cy="274320"/>
                </a:xfrm>
                <a:prstGeom prst="rect">
                  <a:avLst/>
                </a:prstGeom>
                <a:solidFill>
                  <a:schemeClr val="accent1">
                    <a:lumMod val="20000"/>
                    <a:lumOff val="80000"/>
                  </a:schemeClr>
                </a:solidFill>
                <a:ln w="9525">
                  <a:noFill/>
                  <a:miter lim="800000"/>
                  <a:headEnd/>
                  <a:tailEnd/>
                </a:ln>
              </xdr:spPr>
              <xdr:txBody>
                <a:bodyPr rot="0" vert="horz" wrap="square" lIns="91440" tIns="36000" rIns="91440" bIns="45720" rtlCol="0" anchor="t" anchorCtr="0">
                  <a:noAutofit/>
                </a:bodyPr>
                <a:lstStyle/>
                <a:p>
                  <a:pPr marL="0" marR="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午休結束</a:t>
                  </a:r>
                </a:p>
              </xdr:txBody>
            </xdr:sp>
            <xdr:sp macro="" textlink="">
              <xdr:nvSpPr>
                <xdr:cNvPr id="141" name="文字_公式下方圖說文字" descr="午休結束&#10;&#10;">
                  <a:extLst>
                    <a:ext uri="{FF2B5EF4-FFF2-40B4-BE49-F238E27FC236}">
                      <a16:creationId xmlns:a16="http://schemas.microsoft.com/office/drawing/2014/main" id="{B855D0A5-2977-4D62-AD0B-843A0716AFBA}"/>
                    </a:ext>
                  </a:extLst>
                </xdr:cNvPr>
                <xdr:cNvSpPr txBox="1">
                  <a:spLocks noChangeArrowheads="1"/>
                </xdr:cNvSpPr>
              </xdr:nvSpPr>
              <xdr:spPr bwMode="auto">
                <a:xfrm>
                  <a:off x="10357639" y="5461717"/>
                  <a:ext cx="836054" cy="274320"/>
                </a:xfrm>
                <a:prstGeom prst="rect">
                  <a:avLst/>
                </a:prstGeom>
                <a:solidFill>
                  <a:srgbClr val="E2F0D9"/>
                </a:solidFill>
                <a:ln w="9525">
                  <a:noFill/>
                  <a:miter lim="800000"/>
                  <a:headEnd/>
                  <a:tailEnd/>
                </a:ln>
              </xdr:spPr>
              <xdr:txBody>
                <a:bodyPr rot="0" vert="horz" wrap="square" lIns="91440" tIns="36000" rIns="91440" bIns="0" rtlCol="0" anchor="t" anchorCtr="0">
                  <a:noAutofit/>
                </a:bodyPr>
                <a:lstStyle/>
                <a:p>
                  <a:pPr marL="0" marR="0" indent="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午休開始</a:t>
                  </a:r>
                </a:p>
              </xdr:txBody>
            </xdr:sp>
            <xdr:sp macro="" textlink="">
              <xdr:nvSpPr>
                <xdr:cNvPr id="142" name="公式下方大括弧">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3" name="公式下方大括弧">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44" name="文字_公式下方圖說文字"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977201" y="6276974"/>
                  <a:ext cx="416717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algn="ctr"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內括弧​​ () 會確保 Excel 計算公式的這些部分本身。外括弧​​會確保 Excel </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將最終的內括號結果乘以 24。</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grpSp>
        </xdr:grpSp>
      </xdr:grpSp>
      <xdr:sp macro="" textlink="">
        <xdr:nvSpPr>
          <xdr:cNvPr id="151" name="[上一個] 按鈕" descr="回到上一個工作表">
            <a:hlinkClick xmlns:r="http://schemas.openxmlformats.org/officeDocument/2006/relationships" r:id="rId3" tooltip="按一下這裡回到上一個工作表"/>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sp macro="" textlink="">
        <xdr:nvSpPr>
          <xdr:cNvPr id="152" name="[下一個] 按鈕" descr="前往下一個工作表">
            <a:hlinkClick xmlns:r="http://schemas.openxmlformats.org/officeDocument/2006/relationships" r:id="rId4" tooltip="按一下這裡前往下一個工作表"/>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grpSp>
    <xdr:clientData/>
  </xdr:twoCellAnchor>
  <xdr:twoCellAnchor editAs="absolute">
    <xdr:from>
      <xdr:col>2</xdr:col>
      <xdr:colOff>949325</xdr:colOff>
      <xdr:row>47</xdr:row>
      <xdr:rowOff>156128</xdr:rowOff>
    </xdr:from>
    <xdr:to>
      <xdr:col>6</xdr:col>
      <xdr:colOff>57150</xdr:colOff>
      <xdr:row>57</xdr:row>
      <xdr:rowOff>79378</xdr:rowOff>
    </xdr:to>
    <xdr:grpSp>
      <xdr:nvGrpSpPr>
        <xdr:cNvPr id="153" name="群組 152">
          <a:extLst>
            <a:ext uri="{FF2B5EF4-FFF2-40B4-BE49-F238E27FC236}">
              <a16:creationId xmlns:a16="http://schemas.microsoft.com/office/drawing/2014/main" id="{5099300F-1CF9-4951-9904-72E39FABE751}"/>
            </a:ext>
          </a:extLst>
        </xdr:cNvPr>
        <xdr:cNvGrpSpPr/>
      </xdr:nvGrpSpPr>
      <xdr:grpSpPr>
        <a:xfrm>
          <a:off x="7512050" y="9966878"/>
          <a:ext cx="3917950" cy="1828250"/>
          <a:chOff x="6391275" y="8320481"/>
          <a:chExt cx="3190875" cy="1652194"/>
        </a:xfrm>
      </xdr:grpSpPr>
      <xdr:sp macro="" textlink="">
        <xdr:nvSpPr>
          <xdr:cNvPr id="154" name="步驟"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您可以使用鍵盤快速鍵輸入不會持續變更的日期和時間：</a:t>
            </a:r>
          </a:p>
          <a:p>
            <a:pPr algn="ctr" rtl="0" eaLnBrk="1" fontAlgn="auto" latinLnBrk="0" hangingPunct="1"/>
            <a:endParaRPr lang="en-US" sz="1100" b="0" i="0" kern="1200" baseline="0">
              <a:solidFill>
                <a:schemeClr val="dk1"/>
              </a:solidFill>
              <a:effectLst/>
              <a:latin typeface="+mn-lt"/>
              <a:ea typeface="Microsoft JhengHei UI" panose="020B0604030504040204" pitchFamily="34" charset="-120"/>
              <a:cs typeface="+mn-cs"/>
            </a:endParaRPr>
          </a:p>
          <a:p>
            <a:pPr algn="ct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日期：</a:t>
            </a:r>
            <a:r>
              <a:rPr lang="zh-tw" sz="1100" b="1" i="0" kern="1200" baseline="0">
                <a:solidFill>
                  <a:schemeClr val="dk1"/>
                </a:solidFill>
                <a:effectLst/>
                <a:latin typeface="+mn-lt"/>
                <a:ea typeface="Microsoft JhengHei UI" panose="020B0604030504040204" pitchFamily="34" charset="-120"/>
                <a:cs typeface="+mn-cs"/>
              </a:rPr>
              <a:t>Ctl+;</a:t>
            </a:r>
            <a:r>
              <a:rPr lang="zh-tw" sz="1100" b="0" i="0" kern="1200" baseline="0">
                <a:solidFill>
                  <a:schemeClr val="dk1"/>
                </a:solidFill>
                <a:effectLst/>
                <a:latin typeface="+mn-lt"/>
                <a:ea typeface="Microsoft JhengHei UI" panose="020B0604030504040204" pitchFamily="34" charset="-120"/>
                <a:cs typeface="+mn-cs"/>
              </a:rPr>
              <a:t> </a:t>
            </a:r>
          </a:p>
          <a:p>
            <a:pPr algn="ct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時間：</a:t>
            </a:r>
            <a:r>
              <a:rPr lang="zh-tw" sz="1100" b="1" i="0" kern="1200" baseline="0">
                <a:solidFill>
                  <a:schemeClr val="dk1"/>
                </a:solidFill>
                <a:effectLst/>
                <a:latin typeface="+mn-lt"/>
                <a:ea typeface="Microsoft JhengHei UI" panose="020B0604030504040204" pitchFamily="34" charset="-120"/>
                <a:cs typeface="+mn-cs"/>
              </a:rPr>
              <a:t>Ctrl+Shift+:</a:t>
            </a:r>
            <a:endParaRPr lang="en-US" sz="1100">
              <a:effectLst/>
              <a:latin typeface="+mn-lt"/>
              <a:ea typeface="Microsoft JhengHei UI" panose="020B0604030504040204" pitchFamily="34" charset="-120"/>
            </a:endParaRPr>
          </a:p>
        </xdr:txBody>
      </xdr:sp>
      <xdr:pic>
        <xdr:nvPicPr>
          <xdr:cNvPr id="155" name="圖形 147" descr="眼鏡">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手繪多邊形：圖案 155" descr="箭號">
            <a:extLst>
              <a:ext uri="{FF2B5EF4-FFF2-40B4-BE49-F238E27FC236}">
                <a16:creationId xmlns:a16="http://schemas.microsoft.com/office/drawing/2014/main" id="{DC28982F-2938-4FB2-83AE-57CF7D95EFD2}"/>
              </a:ext>
            </a:extLst>
          </xdr:cNvPr>
          <xdr:cNvSpPr/>
        </xdr:nvSpPr>
        <xdr:spPr>
          <a:xfrm rot="5737631" flipV="1">
            <a:off x="7434888" y="8142018"/>
            <a:ext cx="544253" cy="901180"/>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342900</xdr:colOff>
      <xdr:row>61</xdr:row>
      <xdr:rowOff>28575</xdr:rowOff>
    </xdr:from>
    <xdr:to>
      <xdr:col>1</xdr:col>
      <xdr:colOff>5063363</xdr:colOff>
      <xdr:row>75</xdr:row>
      <xdr:rowOff>60325</xdr:rowOff>
    </xdr:to>
    <xdr:grpSp>
      <xdr:nvGrpSpPr>
        <xdr:cNvPr id="157" name="群組 156">
          <a:extLst>
            <a:ext uri="{FF2B5EF4-FFF2-40B4-BE49-F238E27FC236}">
              <a16:creationId xmlns:a16="http://schemas.microsoft.com/office/drawing/2014/main" id="{BBCBE502-8234-4D4A-9B27-5CABDDC8BAC3}"/>
            </a:ext>
          </a:extLst>
        </xdr:cNvPr>
        <xdr:cNvGrpSpPr/>
      </xdr:nvGrpSpPr>
      <xdr:grpSpPr>
        <a:xfrm>
          <a:off x="342900" y="12506325"/>
          <a:ext cx="5815838" cy="2698750"/>
          <a:chOff x="352425" y="12715875"/>
          <a:chExt cx="5733288" cy="2476500"/>
        </a:xfrm>
      </xdr:grpSpPr>
      <xdr:sp macro="" textlink="">
        <xdr:nvSpPr>
          <xdr:cNvPr id="158" name="矩形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9" name="步驟" descr="更多網路上的資訊&#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Web 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60" name="直線接點 159" descr="裝飾線條">
            <a:extLst>
              <a:ext uri="{FF2B5EF4-FFF2-40B4-BE49-F238E27FC236}">
                <a16:creationId xmlns:a16="http://schemas.microsoft.com/office/drawing/2014/main" id="{52A9E11F-836A-48CD-A0B1-5196D5B7FDEF}"/>
              </a:ext>
            </a:extLst>
          </xdr:cNvPr>
          <xdr:cNvCxnSpPr>
            <a:cxnSpLocks/>
          </xdr:cNvCxnSpPr>
        </xdr:nvCxnSpPr>
        <xdr:spPr>
          <a:xfrm>
            <a:off x="564965" y="13275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直線接點 160" descr="裝飾線條">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65</xdr:row>
      <xdr:rowOff>7069</xdr:rowOff>
    </xdr:from>
    <xdr:to>
      <xdr:col>1</xdr:col>
      <xdr:colOff>2425700</xdr:colOff>
      <xdr:row>66</xdr:row>
      <xdr:rowOff>169298</xdr:rowOff>
    </xdr:to>
    <xdr:grpSp>
      <xdr:nvGrpSpPr>
        <xdr:cNvPr id="14" name="群組 13">
          <a:extLst>
            <a:ext uri="{FF2B5EF4-FFF2-40B4-BE49-F238E27FC236}">
              <a16:creationId xmlns:a16="http://schemas.microsoft.com/office/drawing/2014/main" id="{C4A695FE-F3AB-4030-A0F4-F10322DAD2D7}"/>
            </a:ext>
          </a:extLst>
        </xdr:cNvPr>
        <xdr:cNvGrpSpPr/>
      </xdr:nvGrpSpPr>
      <xdr:grpSpPr>
        <a:xfrm>
          <a:off x="571931" y="13246819"/>
          <a:ext cx="2949144" cy="352729"/>
          <a:chOff x="571931" y="13599244"/>
          <a:chExt cx="2866594" cy="359079"/>
        </a:xfrm>
      </xdr:grpSpPr>
      <xdr:sp macro="" textlink="">
        <xdr:nvSpPr>
          <xdr:cNvPr id="162" name="步驟" descr="深入了解 TODAY 函數，附有移至網路的超連結&#10;&#10;">
            <a:hlinkClick xmlns:r="http://schemas.openxmlformats.org/officeDocument/2006/relationships" r:id="rId5" tooltip="選取以在網路上深入了解 TODAY 函數"/>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TODAY</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163" name="圖形 22" descr="箭號">
            <a:hlinkClick xmlns:r="http://schemas.openxmlformats.org/officeDocument/2006/relationships" r:id="rId5" tooltip="選取以從網路深入了解"/>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67</xdr:row>
      <xdr:rowOff>41616</xdr:rowOff>
    </xdr:from>
    <xdr:to>
      <xdr:col>1</xdr:col>
      <xdr:colOff>2454275</xdr:colOff>
      <xdr:row>69</xdr:row>
      <xdr:rowOff>25005</xdr:rowOff>
    </xdr:to>
    <xdr:grpSp>
      <xdr:nvGrpSpPr>
        <xdr:cNvPr id="13" name="群組 12">
          <a:extLst>
            <a:ext uri="{FF2B5EF4-FFF2-40B4-BE49-F238E27FC236}">
              <a16:creationId xmlns:a16="http://schemas.microsoft.com/office/drawing/2014/main" id="{E793ECE4-F54A-4632-BABB-CDB76236E886}"/>
            </a:ext>
          </a:extLst>
        </xdr:cNvPr>
        <xdr:cNvGrpSpPr/>
      </xdr:nvGrpSpPr>
      <xdr:grpSpPr>
        <a:xfrm>
          <a:off x="571931" y="13662366"/>
          <a:ext cx="2977719" cy="364389"/>
          <a:chOff x="571931" y="14014791"/>
          <a:chExt cx="2895169" cy="364389"/>
        </a:xfrm>
      </xdr:grpSpPr>
      <xdr:sp macro="" textlink="">
        <xdr:nvSpPr>
          <xdr:cNvPr id="164" name="步驟" descr="深入了解 NOW 函數，附有移至網路的超連結&#10;">
            <a:hlinkClick xmlns:r="http://schemas.openxmlformats.org/officeDocument/2006/relationships" r:id="rId8" tooltip="選取以在網路上深入了解 NOW 函數"/>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NOW</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165" name="圖形 22" descr="箭號">
            <a:hlinkClick xmlns:r="http://schemas.openxmlformats.org/officeDocument/2006/relationships" r:id="rId8" tooltip="選取以從網路深入了解"/>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71</xdr:row>
      <xdr:rowOff>149528</xdr:rowOff>
    </xdr:from>
    <xdr:to>
      <xdr:col>1</xdr:col>
      <xdr:colOff>2075742</xdr:colOff>
      <xdr:row>73</xdr:row>
      <xdr:rowOff>132917</xdr:rowOff>
    </xdr:to>
    <xdr:grpSp>
      <xdr:nvGrpSpPr>
        <xdr:cNvPr id="9" name="群組 8">
          <a:extLst>
            <a:ext uri="{FF2B5EF4-FFF2-40B4-BE49-F238E27FC236}">
              <a16:creationId xmlns:a16="http://schemas.microsoft.com/office/drawing/2014/main" id="{659E6730-AC76-4CC7-A823-D2C618696DAA}"/>
            </a:ext>
          </a:extLst>
        </xdr:cNvPr>
        <xdr:cNvGrpSpPr/>
      </xdr:nvGrpSpPr>
      <xdr:grpSpPr>
        <a:xfrm>
          <a:off x="584540" y="14532278"/>
          <a:ext cx="2586577" cy="364389"/>
          <a:chOff x="584540" y="14891053"/>
          <a:chExt cx="2504027" cy="364389"/>
        </a:xfrm>
      </xdr:grpSpPr>
      <xdr:sp macro="" textlink="">
        <xdr:nvSpPr>
          <xdr:cNvPr id="166" name="步驟" descr="免費的 Excel 線上訓練，附有移至網路的超連結&#10;">
            <a:hlinkClick xmlns:r="http://schemas.openxmlformats.org/officeDocument/2006/relationships" r:id="rId9" tooltip="選取以了解網路上免費的 Excel 訓練"/>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免費的 Excel 線上訓練</a:t>
            </a:r>
          </a:p>
        </xdr:txBody>
      </xdr:sp>
      <xdr:pic>
        <xdr:nvPicPr>
          <xdr:cNvPr id="167" name="圖形 22" descr="箭號">
            <a:hlinkClick xmlns:r="http://schemas.openxmlformats.org/officeDocument/2006/relationships" r:id="rId9" tooltip="選取以從網路深入了解"/>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69</xdr:row>
      <xdr:rowOff>75123</xdr:rowOff>
    </xdr:from>
    <xdr:to>
      <xdr:col>1</xdr:col>
      <xdr:colOff>2463800</xdr:colOff>
      <xdr:row>71</xdr:row>
      <xdr:rowOff>58512</xdr:rowOff>
    </xdr:to>
    <xdr:grpSp>
      <xdr:nvGrpSpPr>
        <xdr:cNvPr id="12" name="群組 11">
          <a:extLst>
            <a:ext uri="{FF2B5EF4-FFF2-40B4-BE49-F238E27FC236}">
              <a16:creationId xmlns:a16="http://schemas.microsoft.com/office/drawing/2014/main" id="{FF28E0D6-012A-4FA6-9D67-C8B77A5CC9E6}"/>
            </a:ext>
          </a:extLst>
        </xdr:cNvPr>
        <xdr:cNvGrpSpPr/>
      </xdr:nvGrpSpPr>
      <xdr:grpSpPr>
        <a:xfrm>
          <a:off x="581456" y="14076873"/>
          <a:ext cx="2977719" cy="364389"/>
          <a:chOff x="581456" y="14435648"/>
          <a:chExt cx="2895169" cy="364389"/>
        </a:xfrm>
      </xdr:grpSpPr>
      <xdr:sp macro="" textlink="">
        <xdr:nvSpPr>
          <xdr:cNvPr id="168" name="步驟" descr="深入了解 DATE 函數，附有移至網路的超連結&#10;">
            <a:hlinkClick xmlns:r="http://schemas.openxmlformats.org/officeDocument/2006/relationships" r:id="rId10" tooltip="選取以在網路上深入了解 DATE 函數"/>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DATE</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169" name="圖形 22" descr="箭號">
            <a:hlinkClick xmlns:r="http://schemas.openxmlformats.org/officeDocument/2006/relationships" r:id="rId10" tooltip="選取以從網路深入了解"/>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4</xdr:col>
      <xdr:colOff>69683</xdr:colOff>
      <xdr:row>6</xdr:row>
      <xdr:rowOff>171154</xdr:rowOff>
    </xdr:from>
    <xdr:to>
      <xdr:col>9</xdr:col>
      <xdr:colOff>345016</xdr:colOff>
      <xdr:row>13</xdr:row>
      <xdr:rowOff>171448</xdr:rowOff>
    </xdr:to>
    <xdr:grpSp>
      <xdr:nvGrpSpPr>
        <xdr:cNvPr id="78" name="要訣詳述" descr="要訣詳述&#10;&#10;">
          <a:extLst>
            <a:ext uri="{FF2B5EF4-FFF2-40B4-BE49-F238E27FC236}">
              <a16:creationId xmlns:a16="http://schemas.microsoft.com/office/drawing/2014/main" id="{F03EFBCA-CF45-46A3-8D0C-6B4DC1C4CC33}"/>
            </a:ext>
          </a:extLst>
        </xdr:cNvPr>
        <xdr:cNvGrpSpPr/>
      </xdr:nvGrpSpPr>
      <xdr:grpSpPr>
        <a:xfrm>
          <a:off x="9918533" y="2076154"/>
          <a:ext cx="4085333" cy="1390944"/>
          <a:chOff x="6396316" y="11324814"/>
          <a:chExt cx="4106584" cy="1343436"/>
        </a:xfrm>
      </xdr:grpSpPr>
      <xdr:sp macro="" textlink="">
        <xdr:nvSpPr>
          <xdr:cNvPr id="79" name="指示"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要訣詳述</a:t>
            </a: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如果您不想讓 Excel 因您還沒輸入生日而顯示負數，您可以像這樣使用 IF 函數：</a:t>
            </a:r>
            <a:r>
              <a:rPr lang="zh-tw" sz="1100" b="1" i="0" kern="1200" baseline="0">
                <a:solidFill>
                  <a:schemeClr val="dk1"/>
                </a:solidFill>
                <a:effectLst/>
                <a:latin typeface="+mn-lt"/>
                <a:ea typeface="Microsoft JhengHei UI" panose="020B0604030504040204" pitchFamily="34" charset="-120"/>
                <a:cs typeface="+mn-cs"/>
              </a:rPr>
              <a:t>=IF(D7="","",D7-D6)</a:t>
            </a:r>
            <a:r>
              <a:rPr lang="zh-tw" sz="1100" b="0" i="0" kern="1200" baseline="0">
                <a:solidFill>
                  <a:schemeClr val="dk1"/>
                </a:solidFill>
                <a:effectLst/>
                <a:latin typeface="+mn-lt"/>
                <a:ea typeface="Microsoft JhengHei UI" panose="020B0604030504040204" pitchFamily="34" charset="-120"/>
                <a:cs typeface="+mn-cs"/>
              </a:rPr>
              <a:t>，這表示「如果 D7 不等於任何值，則不顯示任何值，相反則顯示 D7 減去 D6」。</a:t>
            </a:r>
            <a:endParaRPr lang="en-US" sz="1100">
              <a:effectLst/>
              <a:ea typeface="Microsoft JhengHei UI" panose="020B0604030504040204" pitchFamily="34" charset="-120"/>
            </a:endParaRPr>
          </a:p>
        </xdr:txBody>
      </xdr:sp>
      <xdr:pic>
        <xdr:nvPicPr>
          <xdr:cNvPr id="80" name="放大鏡" descr="放大鏡">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箭號" descr="箭號">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5210175</xdr:colOff>
      <xdr:row>47</xdr:row>
      <xdr:rowOff>19050</xdr:rowOff>
    </xdr:to>
    <xdr:grpSp>
      <xdr:nvGrpSpPr>
        <xdr:cNvPr id="111" name="群組 110">
          <a:extLst>
            <a:ext uri="{FF2B5EF4-FFF2-40B4-BE49-F238E27FC236}">
              <a16:creationId xmlns:a16="http://schemas.microsoft.com/office/drawing/2014/main" id="{5C38C905-DEF0-45E7-ABEB-10915BE42D13}"/>
            </a:ext>
          </a:extLst>
        </xdr:cNvPr>
        <xdr:cNvGrpSpPr/>
      </xdr:nvGrpSpPr>
      <xdr:grpSpPr>
        <a:xfrm>
          <a:off x="323850" y="5019675"/>
          <a:ext cx="5981700" cy="4524375"/>
          <a:chOff x="323850" y="5019675"/>
          <a:chExt cx="5734050" cy="4524375"/>
        </a:xfrm>
      </xdr:grpSpPr>
      <xdr:grpSp>
        <xdr:nvGrpSpPr>
          <xdr:cNvPr id="58" name="群組_導覽窗格">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文字_導覽背景" descr="背景​​">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文字_導覽標頭" descr="同時使用文字和數值">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同時使用文字和數值</a:t>
              </a:r>
            </a:p>
          </xdr:txBody>
        </xdr:sp>
        <xdr:cxnSp macro="">
          <xdr:nvCxnSpPr>
            <xdr:cNvPr id="61" name="文字_導覽線條1" descr="裝飾線條">
              <a:extLst>
                <a:ext uri="{FF2B5EF4-FFF2-40B4-BE49-F238E27FC236}">
                  <a16:creationId xmlns:a16="http://schemas.microsoft.com/office/drawing/2014/main" id="{DDC3CCDC-6AE4-46BD-AE52-501D8F2D8750}"/>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文字_導覽線條2" descr="裝飾線條">
              <a:extLst>
                <a:ext uri="{FF2B5EF4-FFF2-40B4-BE49-F238E27FC236}">
                  <a16:creationId xmlns:a16="http://schemas.microsoft.com/office/drawing/2014/main" id="{A29D6EA9-B97F-4F30-9031-1B1934F6D015}"/>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文字_導覽簡介"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46305" y="2224166"/>
              <a:ext cx="5216551" cy="1802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現在我們將使用 &amp; 合併文字和數值，而不只是文字和文字。</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看看儲存格 C28:D29。看到日期和時間位於個別的儲存格了嗎？您可以使用</a:t>
              </a: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&amp; </a:t>
              </a: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符號將它們合併在一起，就像在儲存格 C32:C33 看到的結果一樣，但這看起來不太對。很可惜，Excel 不知道您想要如何設定數值的格式，因此將它們分成其基本格式，在此情況下則顯示數列日期。我們需要明確告訴 Excel 如何設定公式的數值部分的格式，這樣它才會依您想要的方式顯示產生的文字字串。您可以使用 </a:t>
              </a: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TEXT</a:t>
              </a: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函數和格式代碼來執行此操作。</a:t>
              </a:r>
            </a:p>
          </xdr:txBody>
        </xdr:sp>
      </xdr:grpSp>
      <xdr:grpSp>
        <xdr:nvGrpSpPr>
          <xdr:cNvPr id="64" name="圖形_步驟">
            <a:extLst>
              <a:ext uri="{FF2B5EF4-FFF2-40B4-BE49-F238E27FC236}">
                <a16:creationId xmlns:a16="http://schemas.microsoft.com/office/drawing/2014/main" id="{C6BDB8A3-21FE-4EAA-A451-F595D7A1CFD1}"/>
              </a:ext>
            </a:extLst>
          </xdr:cNvPr>
          <xdr:cNvGrpSpPr/>
        </xdr:nvGrpSpPr>
        <xdr:grpSpPr>
          <a:xfrm>
            <a:off x="561975" y="7600950"/>
            <a:ext cx="5229626" cy="596207"/>
            <a:chOff x="619063" y="7810500"/>
            <a:chExt cx="5195697" cy="596207"/>
          </a:xfrm>
        </xdr:grpSpPr>
        <xdr:sp macro="" textlink="">
          <xdr:nvSpPr>
            <xdr:cNvPr id="65" name="文字_步驟" descr="在儲存格 C36 中，輸入 =C28&amp;&quot; &quot;&amp;TEXT(D28,&quot;MM/DD/YYYY&quot;)。MM/DD/YYYY 是「月/日/年」的美國格式代碼，例如 09/25/2017。&#10;&#10;">
              <a:extLst>
                <a:ext uri="{FF2B5EF4-FFF2-40B4-BE49-F238E27FC236}">
                  <a16:creationId xmlns:a16="http://schemas.microsoft.com/office/drawing/2014/main" id="{DDE71C24-EA69-4FB1-9319-E270E463554C}"/>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在儲存格 </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C36 </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中，輸入 </a:t>
              </a:r>
              <a:r>
                <a:rPr lang="en-US" alt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=C28&amp;" "&amp;TEXT(D28,"YYYY</a:t>
              </a:r>
              <a:r>
                <a:rPr lang="zh-TW" altLang="en-US"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年</a:t>
              </a:r>
              <a:r>
                <a:rPr lang="en-US" alt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M</a:t>
              </a:r>
              <a:r>
                <a:rPr lang="zh-TW" altLang="en-US"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月</a:t>
              </a:r>
              <a:r>
                <a:rPr lang="en-US" alt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D</a:t>
              </a:r>
              <a:r>
                <a:rPr lang="zh-TW" altLang="en-US"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日</a:t>
              </a:r>
              <a:r>
                <a:rPr lang="en-US" alt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YYYY</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年</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M</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月</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D</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日是「年</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月</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日」的中文格式代碼，例如</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2017</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年</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9</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月</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25</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日。</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66" name="圖案_步驟"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grpSp>
        <xdr:nvGrpSpPr>
          <xdr:cNvPr id="67" name="圖形_步驟">
            <a:extLst>
              <a:ext uri="{FF2B5EF4-FFF2-40B4-BE49-F238E27FC236}">
                <a16:creationId xmlns:a16="http://schemas.microsoft.com/office/drawing/2014/main" id="{400221E8-F2AA-445E-86DD-DDE14B5B3DC8}"/>
              </a:ext>
            </a:extLst>
          </xdr:cNvPr>
          <xdr:cNvGrpSpPr/>
        </xdr:nvGrpSpPr>
        <xdr:grpSpPr>
          <a:xfrm>
            <a:off x="561975" y="8181975"/>
            <a:ext cx="5229626" cy="596207"/>
            <a:chOff x="619063" y="7810500"/>
            <a:chExt cx="5195697" cy="596207"/>
          </a:xfrm>
        </xdr:grpSpPr>
        <xdr:sp macro="" textlink="">
          <xdr:nvSpPr>
            <xdr:cNvPr id="68" name="文字_步驟" descr="在儲存格 C37 中，輸入 =C29&amp;&quot; &quot;&amp;TEXT(D29,&quot;HH:MM AM/PM&quot;)。HH:MM AM/PM 是「小時:分鐘上午或下午」的美國格式代碼，例如下午 1:30。&#10;">
              <a:extLst>
                <a:ext uri="{FF2B5EF4-FFF2-40B4-BE49-F238E27FC236}">
                  <a16:creationId xmlns:a16="http://schemas.microsoft.com/office/drawing/2014/main" id="{CEB49487-C445-4B69-9112-51698E7250F2}"/>
                </a:ext>
              </a:extLst>
            </xdr:cNvPr>
            <xdr:cNvSpPr txBox="1"/>
          </xdr:nvSpPr>
          <xdr:spPr>
            <a:xfrm>
              <a:off x="103622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在儲存格 </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C37 </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中，輸入</a:t>
              </a:r>
              <a:r>
                <a:rPr lang="en-US" alt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=C29&amp;" "&amp;TEXT(D29,"H:MM")</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H:MM</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是「小時</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分鐘」的中文格式代碼，例如 </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1:30</a:t>
              </a:r>
              <a:r>
                <a:rPr lang="zh-TW" alt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69" name="圖案_步驟"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grpSp>
    <xdr:clientData/>
  </xdr:twoCellAnchor>
  <xdr:twoCellAnchor editAs="absolute">
    <xdr:from>
      <xdr:col>0</xdr:col>
      <xdr:colOff>542925</xdr:colOff>
      <xdr:row>44</xdr:row>
      <xdr:rowOff>66675</xdr:rowOff>
    </xdr:from>
    <xdr:to>
      <xdr:col>1</xdr:col>
      <xdr:colOff>805270</xdr:colOff>
      <xdr:row>46</xdr:row>
      <xdr:rowOff>21124</xdr:rowOff>
    </xdr:to>
    <xdr:sp macro="" textlink="">
      <xdr:nvSpPr>
        <xdr:cNvPr id="70" name="[上一個] 按鈕" descr="回到上一個工作表">
          <a:hlinkClick xmlns:r="http://schemas.openxmlformats.org/officeDocument/2006/relationships" r:id="rId1" tooltip="按一下這裡回到上一個工作表"/>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xdr:twoCellAnchor>
  <xdr:twoCellAnchor editAs="absolute">
    <xdr:from>
      <xdr:col>1</xdr:col>
      <xdr:colOff>3548111</xdr:colOff>
      <xdr:row>44</xdr:row>
      <xdr:rowOff>66675</xdr:rowOff>
    </xdr:from>
    <xdr:to>
      <xdr:col>1</xdr:col>
      <xdr:colOff>4823281</xdr:colOff>
      <xdr:row>46</xdr:row>
      <xdr:rowOff>21124</xdr:rowOff>
    </xdr:to>
    <xdr:sp macro="" textlink="">
      <xdr:nvSpPr>
        <xdr:cNvPr id="71" name="[下一個] 按鈕" descr="前往下一個工作表">
          <a:hlinkClick xmlns:r="http://schemas.openxmlformats.org/officeDocument/2006/relationships" r:id="rId2" tooltip="按一下這裡前往下一個工作表"/>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xdr:twoCellAnchor>
  <xdr:twoCellAnchor editAs="absolute">
    <xdr:from>
      <xdr:col>1</xdr:col>
      <xdr:colOff>5287962</xdr:colOff>
      <xdr:row>41</xdr:row>
      <xdr:rowOff>123825</xdr:rowOff>
    </xdr:from>
    <xdr:to>
      <xdr:col>4</xdr:col>
      <xdr:colOff>1140353</xdr:colOff>
      <xdr:row>50</xdr:row>
      <xdr:rowOff>124884</xdr:rowOff>
    </xdr:to>
    <xdr:grpSp>
      <xdr:nvGrpSpPr>
        <xdr:cNvPr id="72" name="值得探究" descr="值得探究">
          <a:extLst>
            <a:ext uri="{FF2B5EF4-FFF2-40B4-BE49-F238E27FC236}">
              <a16:creationId xmlns:a16="http://schemas.microsoft.com/office/drawing/2014/main" id="{D3F697DB-2CF8-4D23-9E17-2125613D49A8}"/>
            </a:ext>
          </a:extLst>
        </xdr:cNvPr>
        <xdr:cNvGrpSpPr/>
      </xdr:nvGrpSpPr>
      <xdr:grpSpPr>
        <a:xfrm>
          <a:off x="6383337" y="8505825"/>
          <a:ext cx="4015316" cy="1715559"/>
          <a:chOff x="8477250" y="8591549"/>
          <a:chExt cx="3314700" cy="1504951"/>
        </a:xfrm>
      </xdr:grpSpPr>
      <xdr:pic>
        <xdr:nvPicPr>
          <xdr:cNvPr id="73" name="圖形 9" descr="健行">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步驟"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值得探究</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ea typeface="Microsoft JhengHei UI" panose="020B0604030504040204" pitchFamily="34" charset="-120"/>
                <a:cs typeface="Segoe UI Light" panose="020B0502040204020203" pitchFamily="34" charset="0"/>
              </a:rPr>
              <a:t>如果您不知道要使用哪個格式代碼，您可以使用 </a:t>
            </a:r>
            <a:r>
              <a:rPr lang="zh-tw" sz="1100" b="1" kern="0">
                <a:solidFill>
                  <a:schemeClr val="bg2">
                    <a:lumMod val="25000"/>
                  </a:schemeClr>
                </a:solidFill>
                <a:ea typeface="Microsoft JhengHei UI" panose="020B0604030504040204" pitchFamily="34" charset="-120"/>
                <a:cs typeface="Segoe UI Light" panose="020B0502040204020203" pitchFamily="34" charset="0"/>
              </a:rPr>
              <a:t>Ctrl+1</a:t>
            </a:r>
            <a:r>
              <a:rPr lang="zh-tw" sz="1100" kern="0">
                <a:solidFill>
                  <a:schemeClr val="bg2">
                    <a:lumMod val="25000"/>
                  </a:schemeClr>
                </a:solidFill>
                <a:ea typeface="Microsoft JhengHei UI" panose="020B0604030504040204" pitchFamily="34" charset="-120"/>
                <a:cs typeface="Segoe UI Light" panose="020B0502040204020203" pitchFamily="34" charset="0"/>
              </a:rPr>
              <a:t> &gt; </a:t>
            </a:r>
            <a:r>
              <a:rPr lang="zh-tw" sz="1100" b="1" kern="0">
                <a:solidFill>
                  <a:schemeClr val="bg2">
                    <a:lumMod val="25000"/>
                  </a:schemeClr>
                </a:solidFill>
                <a:ea typeface="Microsoft JhengHei UI" panose="020B0604030504040204" pitchFamily="34" charset="-120"/>
                <a:cs typeface="Segoe UI Light" panose="020B0502040204020203" pitchFamily="34" charset="0"/>
              </a:rPr>
              <a:t>[數值]</a:t>
            </a:r>
            <a:r>
              <a:rPr lang="zh-tw" sz="1100" kern="0">
                <a:solidFill>
                  <a:schemeClr val="bg2">
                    <a:lumMod val="25000"/>
                  </a:schemeClr>
                </a:solidFill>
                <a:ea typeface="Microsoft JhengHei UI" panose="020B0604030504040204" pitchFamily="34" charset="-120"/>
                <a:cs typeface="Segoe UI Light" panose="020B0502040204020203" pitchFamily="34" charset="0"/>
              </a:rPr>
              <a:t> 來依您想要的方式設定任何儲存格的格式。然後選取 </a:t>
            </a:r>
            <a:r>
              <a:rPr lang="zh-tw" sz="1100" b="1" kern="0">
                <a:solidFill>
                  <a:schemeClr val="bg2">
                    <a:lumMod val="25000"/>
                  </a:schemeClr>
                </a:solidFill>
                <a:ea typeface="Microsoft JhengHei UI" panose="020B0604030504040204" pitchFamily="34" charset="-120"/>
                <a:cs typeface="Segoe UI Light" panose="020B0502040204020203" pitchFamily="34" charset="0"/>
              </a:rPr>
              <a:t>[自訂]</a:t>
            </a:r>
            <a:r>
              <a:rPr lang="zh-tw" sz="1100" b="0" kern="0">
                <a:solidFill>
                  <a:schemeClr val="bg2">
                    <a:lumMod val="25000"/>
                  </a:schemeClr>
                </a:solidFill>
                <a:ea typeface="Microsoft JhengHei UI" panose="020B0604030504040204" pitchFamily="34" charset="-120"/>
                <a:cs typeface="Segoe UI Light" panose="020B0502040204020203" pitchFamily="34" charset="0"/>
              </a:rPr>
              <a:t> 選項</a:t>
            </a:r>
            <a:r>
              <a:rPr lang="zh-tw" sz="1100" kern="0">
                <a:solidFill>
                  <a:schemeClr val="bg2">
                    <a:lumMod val="25000"/>
                  </a:schemeClr>
                </a:solidFill>
                <a:ea typeface="Microsoft JhengHei UI" panose="020B0604030504040204" pitchFamily="34" charset="-120"/>
                <a:cs typeface="Segoe UI Light" panose="020B0502040204020203" pitchFamily="34" charset="0"/>
              </a:rPr>
              <a:t>。您可以複製重新顯示在您的公式的格式代碼。</a:t>
            </a:r>
            <a:endParaRPr lang="en-US" sz="1100" b="0" i="0">
              <a:solidFill>
                <a:schemeClr val="bg2">
                  <a:lumMod val="25000"/>
                </a:schemeClr>
              </a:solidFill>
              <a:effectLst/>
              <a:latin typeface="+mn-lt"/>
              <a:ea typeface="Microsoft JhengHei UI" panose="020B0604030504040204" pitchFamily="34" charset="-12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59</xdr:row>
      <xdr:rowOff>171450</xdr:rowOff>
    </xdr:to>
    <xdr:grpSp>
      <xdr:nvGrpSpPr>
        <xdr:cNvPr id="110" name="群組 109">
          <a:extLst>
            <a:ext uri="{FF2B5EF4-FFF2-40B4-BE49-F238E27FC236}">
              <a16:creationId xmlns:a16="http://schemas.microsoft.com/office/drawing/2014/main" id="{AB7C580B-2584-48A5-99EE-E42C35C6718F}"/>
            </a:ext>
          </a:extLst>
        </xdr:cNvPr>
        <xdr:cNvGrpSpPr/>
      </xdr:nvGrpSpPr>
      <xdr:grpSpPr>
        <a:xfrm>
          <a:off x="323850" y="9629774"/>
          <a:ext cx="5980938" cy="2352676"/>
          <a:chOff x="323850" y="9629774"/>
          <a:chExt cx="5733288" cy="2066925"/>
        </a:xfrm>
      </xdr:grpSpPr>
      <xdr:sp macro="" textlink="">
        <xdr:nvSpPr>
          <xdr:cNvPr id="76" name="矩形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77" name="步驟" descr="更多網路上的資訊&#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Web 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78" name="直線接點 77" descr="裝飾線條">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直線接點 78" descr="裝飾線條">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51</xdr:row>
      <xdr:rowOff>47801</xdr:rowOff>
    </xdr:from>
    <xdr:to>
      <xdr:col>1</xdr:col>
      <xdr:colOff>2572868</xdr:colOff>
      <xdr:row>53</xdr:row>
      <xdr:rowOff>23417</xdr:rowOff>
    </xdr:to>
    <xdr:grpSp>
      <xdr:nvGrpSpPr>
        <xdr:cNvPr id="29" name="群組 28">
          <a:extLst>
            <a:ext uri="{FF2B5EF4-FFF2-40B4-BE49-F238E27FC236}">
              <a16:creationId xmlns:a16="http://schemas.microsoft.com/office/drawing/2014/main" id="{56EB2164-D147-400B-8F32-5162F0FB9573}"/>
            </a:ext>
          </a:extLst>
        </xdr:cNvPr>
        <xdr:cNvGrpSpPr/>
      </xdr:nvGrpSpPr>
      <xdr:grpSpPr>
        <a:xfrm>
          <a:off x="535207" y="10334801"/>
          <a:ext cx="3133036" cy="356616"/>
          <a:chOff x="535207" y="10201451"/>
          <a:chExt cx="2885386" cy="356616"/>
        </a:xfrm>
      </xdr:grpSpPr>
      <xdr:sp macro="" textlink="">
        <xdr:nvSpPr>
          <xdr:cNvPr id="80" name="步驟" descr="深入了解 TEXT 函數&#10;&#10;&#10;">
            <a:hlinkClick xmlns:r="http://schemas.openxmlformats.org/officeDocument/2006/relationships" r:id="rId5" tooltip="選取以在網路上深入了解 TEXT 函數"/>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TEXT</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81" name="圖形 22" descr="箭號">
            <a:hlinkClick xmlns:r="http://schemas.openxmlformats.org/officeDocument/2006/relationships" r:id="rId5" tooltip="選取以從網路深入了解"/>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53</xdr:row>
      <xdr:rowOff>69017</xdr:rowOff>
    </xdr:from>
    <xdr:to>
      <xdr:col>1</xdr:col>
      <xdr:colOff>2601630</xdr:colOff>
      <xdr:row>55</xdr:row>
      <xdr:rowOff>44633</xdr:rowOff>
    </xdr:to>
    <xdr:grpSp>
      <xdr:nvGrpSpPr>
        <xdr:cNvPr id="28" name="群組 27">
          <a:extLst>
            <a:ext uri="{FF2B5EF4-FFF2-40B4-BE49-F238E27FC236}">
              <a16:creationId xmlns:a16="http://schemas.microsoft.com/office/drawing/2014/main" id="{EA729A85-5078-41D7-B98C-429FBA889789}"/>
            </a:ext>
          </a:extLst>
        </xdr:cNvPr>
        <xdr:cNvGrpSpPr/>
      </xdr:nvGrpSpPr>
      <xdr:grpSpPr>
        <a:xfrm>
          <a:off x="535207" y="10737017"/>
          <a:ext cx="3161798" cy="356616"/>
          <a:chOff x="535207" y="10603667"/>
          <a:chExt cx="2914148" cy="356616"/>
        </a:xfrm>
      </xdr:grpSpPr>
      <xdr:sp macro="" textlink="">
        <xdr:nvSpPr>
          <xdr:cNvPr id="82" name="步驟" descr="合併文字和數值，附有移至網路的超連結&#10;">
            <a:hlinkClick xmlns:r="http://schemas.openxmlformats.org/officeDocument/2006/relationships" r:id="rId8" tooltip="選取以在網路上深入了解如何合併文字和數值"/>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合併文字</a:t>
            </a:r>
            <a:r>
              <a:rPr lang="zh-tw" sz="1100" u="sng"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和數值</a:t>
            </a:r>
            <a:endPar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83" name="圖形 22" descr="箭號">
            <a:hlinkClick xmlns:r="http://schemas.openxmlformats.org/officeDocument/2006/relationships" r:id="rId8" tooltip="選取以從網路深入了解"/>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55</xdr:row>
      <xdr:rowOff>95567</xdr:rowOff>
    </xdr:from>
    <xdr:to>
      <xdr:col>1</xdr:col>
      <xdr:colOff>2220615</xdr:colOff>
      <xdr:row>57</xdr:row>
      <xdr:rowOff>71183</xdr:rowOff>
    </xdr:to>
    <xdr:grpSp>
      <xdr:nvGrpSpPr>
        <xdr:cNvPr id="19" name="群組 18">
          <a:extLst>
            <a:ext uri="{FF2B5EF4-FFF2-40B4-BE49-F238E27FC236}">
              <a16:creationId xmlns:a16="http://schemas.microsoft.com/office/drawing/2014/main" id="{8908DE80-CBDC-46BF-A1D9-D258E3790FF2}"/>
            </a:ext>
          </a:extLst>
        </xdr:cNvPr>
        <xdr:cNvGrpSpPr/>
      </xdr:nvGrpSpPr>
      <xdr:grpSpPr>
        <a:xfrm>
          <a:off x="547899" y="11144567"/>
          <a:ext cx="2768091" cy="356616"/>
          <a:chOff x="547899" y="11011217"/>
          <a:chExt cx="2520441" cy="356616"/>
        </a:xfrm>
      </xdr:grpSpPr>
      <xdr:sp macro="" textlink="">
        <xdr:nvSpPr>
          <xdr:cNvPr id="84" name="步驟" descr="免費的 Excel 線上訓練，附有移至網路的超連結&#10;">
            <a:hlinkClick xmlns:r="http://schemas.openxmlformats.org/officeDocument/2006/relationships" r:id="rId9" tooltip="選取以了解網路上免費的 Excel 訓練"/>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免費的 Excel 線上訓練</a:t>
            </a:r>
          </a:p>
        </xdr:txBody>
      </xdr:sp>
      <xdr:pic>
        <xdr:nvPicPr>
          <xdr:cNvPr id="85" name="圖形 22" descr="箭號">
            <a:hlinkClick xmlns:r="http://schemas.openxmlformats.org/officeDocument/2006/relationships" r:id="rId9" tooltip="選取以從網路深入了解"/>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5219700</xdr:colOff>
      <xdr:row>22</xdr:row>
      <xdr:rowOff>161925</xdr:rowOff>
    </xdr:to>
    <xdr:grpSp>
      <xdr:nvGrpSpPr>
        <xdr:cNvPr id="86" name="群組 85">
          <a:extLst>
            <a:ext uri="{FF2B5EF4-FFF2-40B4-BE49-F238E27FC236}">
              <a16:creationId xmlns:a16="http://schemas.microsoft.com/office/drawing/2014/main" id="{95BF5A4D-3D39-4151-ADB7-3BD1C77C7AAA}"/>
            </a:ext>
          </a:extLst>
        </xdr:cNvPr>
        <xdr:cNvGrpSpPr/>
      </xdr:nvGrpSpPr>
      <xdr:grpSpPr>
        <a:xfrm>
          <a:off x="333375" y="352425"/>
          <a:ext cx="5981700" cy="4572000"/>
          <a:chOff x="0" y="0"/>
          <a:chExt cx="5734050" cy="4572000"/>
        </a:xfrm>
      </xdr:grpSpPr>
      <xdr:grpSp>
        <xdr:nvGrpSpPr>
          <xdr:cNvPr id="87" name="群組_導覽窗格">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文字_導覽背景" descr="背景​​">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文字_導覽標頭" descr="合併來自不同儲存格的文字">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合併來自不同儲存格的文字</a:t>
              </a:r>
            </a:p>
          </xdr:txBody>
        </xdr:sp>
        <xdr:cxnSp macro="">
          <xdr:nvCxnSpPr>
            <xdr:cNvPr id="99" name="文字_導覽線條1" descr="裝飾線條">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文字_導覽線條2" descr="裝飾線條">
              <a:extLst>
                <a:ext uri="{FF2B5EF4-FFF2-40B4-BE49-F238E27FC236}">
                  <a16:creationId xmlns:a16="http://schemas.microsoft.com/office/drawing/2014/main" id="{D1E1815B-B93B-4FAB-BF34-F8EBD480D0BC}"/>
                </a:ext>
              </a:extLst>
            </xdr:cNvPr>
            <xdr:cNvCxnSpPr>
              <a:cxnSpLocks/>
            </xdr:cNvCxnSpPr>
          </xdr:nvCxnSpPr>
          <xdr:spPr>
            <a:xfrm>
              <a:off x="850887" y="52789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文字_導覽簡介" descr="很多時候您想在 Excel 合併的文字位於不同儲存格中。以下常見範例是包含名字和姓氏的儲存格，而我們想將它們合併為「名字，姓氏」或「全名」。所幸，Excel 可讓我們使用 &amp; 符號 (Shift+7) 來執行此操作。">
              <a:extLst>
                <a:ext uri="{FF2B5EF4-FFF2-40B4-BE49-F238E27FC236}">
                  <a16:creationId xmlns:a16="http://schemas.microsoft.com/office/drawing/2014/main" id="{D2702511-4771-4838-A3C1-0C5BA687014B}"/>
                </a:ext>
              </a:extLst>
            </xdr:cNvPr>
            <xdr:cNvSpPr txBox="1"/>
          </xdr:nvSpPr>
          <xdr:spPr>
            <a:xfrm>
              <a:off x="846305" y="2224165"/>
              <a:ext cx="5216551" cy="8524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 Excel 中，您可能會經常想要合併位於不同儲存格中的文字。以下是一個包含名字和姓氏的常見範例，而我們想將它們合併為「名字，姓氏」或「全名」。所幸，Excel 可讓我們使用 </a:t>
              </a: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&amp;</a:t>
              </a: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符號 (可使用 </a:t>
              </a: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Shift+7</a:t>
              </a: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輸入) 來執行此操作。</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grpSp>
      <xdr:grpSp>
        <xdr:nvGrpSpPr>
          <xdr:cNvPr id="88" name="圖形_步驟">
            <a:extLst>
              <a:ext uri="{FF2B5EF4-FFF2-40B4-BE49-F238E27FC236}">
                <a16:creationId xmlns:a16="http://schemas.microsoft.com/office/drawing/2014/main" id="{C22B3EA9-DB64-4F67-BB25-AB505C9F6071}"/>
              </a:ext>
            </a:extLst>
          </xdr:cNvPr>
          <xdr:cNvGrpSpPr/>
        </xdr:nvGrpSpPr>
        <xdr:grpSpPr>
          <a:xfrm>
            <a:off x="238125" y="1628775"/>
            <a:ext cx="5220101" cy="596207"/>
            <a:chOff x="590674" y="7810500"/>
            <a:chExt cx="5186234" cy="596207"/>
          </a:xfrm>
        </xdr:grpSpPr>
        <xdr:sp macro="" textlink="">
          <xdr:nvSpPr>
            <xdr:cNvPr id="95" name="文字_步驟" descr="在儲存格 E3 中，輸入 =D3&amp;C3 以合併姓氏和名字。">
              <a:extLst>
                <a:ext uri="{FF2B5EF4-FFF2-40B4-BE49-F238E27FC236}">
                  <a16:creationId xmlns:a16="http://schemas.microsoft.com/office/drawing/2014/main" id="{2019278A-5B82-42D4-A9E1-AB92ED21BA21}"/>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在儲存格 E3 中，輸入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=D3&amp;C3</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以合併姓氏和名字。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96" name="圖案_步驟" descr="1">
              <a:extLst>
                <a:ext uri="{FF2B5EF4-FFF2-40B4-BE49-F238E27FC236}">
                  <a16:creationId xmlns:a16="http://schemas.microsoft.com/office/drawing/2014/main" id="{08E6959D-49D7-4904-81A7-E70CA3454C0B}"/>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grpSp>
        <xdr:nvGrpSpPr>
          <xdr:cNvPr id="89" name="圖形_步驟">
            <a:extLst>
              <a:ext uri="{FF2B5EF4-FFF2-40B4-BE49-F238E27FC236}">
                <a16:creationId xmlns:a16="http://schemas.microsoft.com/office/drawing/2014/main" id="{2404CB22-1164-47A4-9503-5F5194382641}"/>
              </a:ext>
            </a:extLst>
          </xdr:cNvPr>
          <xdr:cNvGrpSpPr/>
        </xdr:nvGrpSpPr>
        <xdr:grpSpPr>
          <a:xfrm>
            <a:off x="238125" y="2166938"/>
            <a:ext cx="5220101" cy="881062"/>
            <a:chOff x="590674" y="7810500"/>
            <a:chExt cx="5186234" cy="881062"/>
          </a:xfrm>
        </xdr:grpSpPr>
        <xdr:sp macro="" textlink="">
          <xdr:nvSpPr>
            <xdr:cNvPr id="93" name="文字_步驟" descr="但是 SmithNancy 起來不太對。我們需要加上逗號和空格。若要這麼做，我們需要使用引號來建立新文字字串。這次輸入 =D3&amp;&quot;, &quot;&amp;C3。 &amp;&quot;, &quot;&amp; 分可讓我們將逗號及空格與儲存格中的文字合併。&#10;">
              <a:extLst>
                <a:ext uri="{FF2B5EF4-FFF2-40B4-BE49-F238E27FC236}">
                  <a16:creationId xmlns:a16="http://schemas.microsoft.com/office/drawing/2014/main" id="{08674DB0-339E-4450-B5D1-99B77DC0D664}"/>
                </a:ext>
              </a:extLst>
            </xdr:cNvPr>
            <xdr:cNvSpPr txBox="1"/>
          </xdr:nvSpPr>
          <xdr:spPr>
            <a:xfrm>
              <a:off x="998369" y="7823883"/>
              <a:ext cx="4778539" cy="8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但</a:t>
              </a:r>
              <a:r>
                <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SmithNancy </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看起來不太對。我們需要加上逗號和空格。若要這麼做，我們需要使用引號來建立新文字字串。這次，輸入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=D3&amp;", "&amp;C3</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&amp;", "&amp;</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部分可讓我們將逗號及空格與儲存格中的文字合併。</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94" name="圖案_步驟" descr="2">
              <a:extLst>
                <a:ext uri="{FF2B5EF4-FFF2-40B4-BE49-F238E27FC236}">
                  <a16:creationId xmlns:a16="http://schemas.microsoft.com/office/drawing/2014/main" id="{5F7A5327-6FDF-46BB-9B7E-8EB24A3ABBF2}"/>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grpSp>
        <xdr:nvGrpSpPr>
          <xdr:cNvPr id="90" name="圖形_步驟">
            <a:extLst>
              <a:ext uri="{FF2B5EF4-FFF2-40B4-BE49-F238E27FC236}">
                <a16:creationId xmlns:a16="http://schemas.microsoft.com/office/drawing/2014/main" id="{C702821E-6BD4-4022-98BD-DE7E30FD3E4C}"/>
              </a:ext>
            </a:extLst>
          </xdr:cNvPr>
          <xdr:cNvGrpSpPr/>
        </xdr:nvGrpSpPr>
        <xdr:grpSpPr>
          <a:xfrm>
            <a:off x="238125" y="3105150"/>
            <a:ext cx="5220101" cy="596207"/>
            <a:chOff x="590674" y="7810500"/>
            <a:chExt cx="5186234" cy="596207"/>
          </a:xfrm>
        </xdr:grpSpPr>
        <xdr:sp macro="" textlink="">
          <xdr:nvSpPr>
            <xdr:cNvPr id="91" name="文字_步驟" descr="若要建立全名，我們需要合併名字和姓氏，但使用空格，而不是逗號。在 F3 中輸入 =C3&amp;&quot; &quot;&amp;D3。">
              <a:extLst>
                <a:ext uri="{FF2B5EF4-FFF2-40B4-BE49-F238E27FC236}">
                  <a16:creationId xmlns:a16="http://schemas.microsoft.com/office/drawing/2014/main" id="{CEF374DD-E735-4BAD-8507-D3231A999B36}"/>
                </a:ext>
              </a:extLst>
            </xdr:cNvPr>
            <xdr:cNvSpPr txBox="1"/>
          </xdr:nvSpPr>
          <xdr:spPr>
            <a:xfrm>
              <a:off x="998369"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若要建立全名，我們需要合併名字和姓氏，但使用空格，而不是逗號。在 F3 中，輸入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=C3&amp;" "&amp;D3</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92" name="圖案_步驟" descr="3">
              <a:extLst>
                <a:ext uri="{FF2B5EF4-FFF2-40B4-BE49-F238E27FC236}">
                  <a16:creationId xmlns:a16="http://schemas.microsoft.com/office/drawing/2014/main" id="{9477BB36-AB74-47F3-A687-1A347B7E572C}"/>
                </a:ext>
              </a:extLst>
            </xdr:cNvPr>
            <xdr:cNvSpPr/>
          </xdr:nvSpPr>
          <xdr:spPr>
            <a:xfrm>
              <a:off x="59067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2309482</xdr:colOff>
      <xdr:row>22</xdr:row>
      <xdr:rowOff>107062</xdr:rowOff>
    </xdr:to>
    <xdr:sp macro="" textlink="">
      <xdr:nvSpPr>
        <xdr:cNvPr id="102" name="按鈕_深入探討" descr="向下瀏覽以取得更多詳細資料">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lientData/>
  </xdr:twoCellAnchor>
  <xdr:twoCellAnchor editAs="absolute">
    <xdr:from>
      <xdr:col>1</xdr:col>
      <xdr:colOff>3548111</xdr:colOff>
      <xdr:row>19</xdr:row>
      <xdr:rowOff>142875</xdr:rowOff>
    </xdr:from>
    <xdr:to>
      <xdr:col>1</xdr:col>
      <xdr:colOff>4823281</xdr:colOff>
      <xdr:row>21</xdr:row>
      <xdr:rowOff>97324</xdr:rowOff>
    </xdr:to>
    <xdr:sp macro="" textlink="">
      <xdr:nvSpPr>
        <xdr:cNvPr id="103" name="[下一個] 按鈕" descr="前往下一個工作表">
          <a:hlinkClick xmlns:r="http://schemas.openxmlformats.org/officeDocument/2006/relationships" r:id="rId2" tooltip="按一下這裡前往下一個工作表"/>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4</xdr:col>
      <xdr:colOff>3168</xdr:colOff>
      <xdr:row>33</xdr:row>
      <xdr:rowOff>66676</xdr:rowOff>
    </xdr:from>
    <xdr:to>
      <xdr:col>6</xdr:col>
      <xdr:colOff>133342</xdr:colOff>
      <xdr:row>41</xdr:row>
      <xdr:rowOff>19051</xdr:rowOff>
    </xdr:to>
    <xdr:grpSp>
      <xdr:nvGrpSpPr>
        <xdr:cNvPr id="104" name="立即查看" descr="立即查看&#10;&#10;">
          <a:extLst>
            <a:ext uri="{FF2B5EF4-FFF2-40B4-BE49-F238E27FC236}">
              <a16:creationId xmlns:a16="http://schemas.microsoft.com/office/drawing/2014/main" id="{EFD4E48E-5D2B-4B5E-9DBB-99430A62BD96}"/>
            </a:ext>
          </a:extLst>
        </xdr:cNvPr>
        <xdr:cNvGrpSpPr/>
      </xdr:nvGrpSpPr>
      <xdr:grpSpPr>
        <a:xfrm>
          <a:off x="9261468" y="6924676"/>
          <a:ext cx="3511549" cy="1476375"/>
          <a:chOff x="7539454" y="7993902"/>
          <a:chExt cx="3277936" cy="1748029"/>
        </a:xfrm>
      </xdr:grpSpPr>
      <xdr:grpSp>
        <xdr:nvGrpSpPr>
          <xdr:cNvPr id="105" name="括號行">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另一個括號行" descr="括號行">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109" name="括號行" descr="括號行&#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106" name="星星" descr="星星">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01535" cy="337816"/>
          </a:xfrm>
          <a:prstGeom prst="rect">
            <a:avLst/>
          </a:prstGeom>
        </xdr:spPr>
      </xdr:pic>
      <xdr:sp macro="" textlink="">
        <xdr:nvSpPr>
          <xdr:cNvPr id="107" name="說明"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079181" y="7993902"/>
            <a:ext cx="2738209" cy="1748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立即查看</a:t>
            </a: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公式</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(尤其是大型公式) 有時可能很難閱讀，但您可以像這樣將它們分成多個部分並加上空格：</a:t>
            </a:r>
          </a:p>
          <a:p>
            <a:pPr lvl="0" rtl="0">
              <a:defRPr/>
            </a:pPr>
            <a:endParaRPr lang="en-US"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b="1">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=C28 &amp; " " &amp; TEXT(D28,"</a:t>
            </a:r>
            <a:r>
              <a:rPr lang="en-US" altLang="zh-TW" sz="1100" b="1">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YYYY</a:t>
            </a:r>
            <a:r>
              <a:rPr lang="zh-TW" altLang="en-US" sz="1100" b="1">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年</a:t>
            </a:r>
            <a:r>
              <a:rPr lang="en-US" altLang="zh-TW" sz="1100" b="1">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M</a:t>
            </a:r>
            <a:r>
              <a:rPr lang="zh-TW" altLang="en-US" sz="1100" b="1">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月</a:t>
            </a:r>
            <a:r>
              <a:rPr lang="en-US" altLang="zh-TW" sz="1100" b="1">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D</a:t>
            </a:r>
            <a:r>
              <a:rPr lang="zh-TW" altLang="en-US" sz="1100" b="1">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日</a:t>
            </a:r>
            <a:r>
              <a:rPr lang="zh-tw" sz="1100" b="1">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5064125</xdr:colOff>
      <xdr:row>22</xdr:row>
      <xdr:rowOff>156549</xdr:rowOff>
    </xdr:to>
    <xdr:grpSp>
      <xdr:nvGrpSpPr>
        <xdr:cNvPr id="32" name="群組 31">
          <a:extLst>
            <a:ext uri="{FF2B5EF4-FFF2-40B4-BE49-F238E27FC236}">
              <a16:creationId xmlns:a16="http://schemas.microsoft.com/office/drawing/2014/main" id="{32765470-045A-4DC3-91A2-013AB95EB7BA}"/>
            </a:ext>
          </a:extLst>
        </xdr:cNvPr>
        <xdr:cNvGrpSpPr/>
      </xdr:nvGrpSpPr>
      <xdr:grpSpPr>
        <a:xfrm>
          <a:off x="342900" y="361950"/>
          <a:ext cx="5816600" cy="4557099"/>
          <a:chOff x="342900" y="361950"/>
          <a:chExt cx="5734050" cy="4557099"/>
        </a:xfrm>
      </xdr:grpSpPr>
      <xdr:grpSp>
        <xdr:nvGrpSpPr>
          <xdr:cNvPr id="70" name="群組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文字_導覽背景" descr="背景​​">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文字_導覽標頭" descr="IF 陳述式">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IF 陳述式</a:t>
              </a:r>
              <a:endParaRPr kumimoji="0" lang="en-US" sz="22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78" name="文字_導覽線條1" descr="裝飾線條">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文字_導覽線條2" descr="裝飾線條">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文字_導覽簡介" descr="IF 陳述式可讓您在條件之間進行邏輯比較。IF 陳述式通常表示如果一項條件為 True，則執行某項操作，反之如果條件為 False，則執行其他操作。公式可以傳回文字、值或甚至更多計算。&#10;">
              <a:extLst>
                <a:ext uri="{FF2B5EF4-FFF2-40B4-BE49-F238E27FC236}">
                  <a16:creationId xmlns:a16="http://schemas.microsoft.com/office/drawing/2014/main" id="{29E75ED7-FFEA-4CE5-86E1-A1A772619057}"/>
                </a:ext>
              </a:extLst>
            </xdr:cNvPr>
            <xdr:cNvSpPr txBox="1"/>
          </xdr:nvSpPr>
          <xdr:spPr>
            <a:xfrm>
              <a:off x="562138" y="1043066"/>
              <a:ext cx="5251444" cy="7316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IF 陳述式可讓您在條件之間進行邏輯比較。IF 陳述式通常表示如果一項條件為 True，則執行某項操作，反之則執行其他操作。公式可以傳回文字、值或甚至更多計算。</a:t>
              </a:r>
            </a:p>
          </xdr:txBody>
        </xdr:sp>
      </xdr:grpSp>
      <xdr:grpSp>
        <xdr:nvGrpSpPr>
          <xdr:cNvPr id="81" name="圖形_步驟">
            <a:extLst>
              <a:ext uri="{FF2B5EF4-FFF2-40B4-BE49-F238E27FC236}">
                <a16:creationId xmlns:a16="http://schemas.microsoft.com/office/drawing/2014/main" id="{62718C28-6D67-47F6-B4B4-619E5B81F03D}"/>
              </a:ext>
            </a:extLst>
          </xdr:cNvPr>
          <xdr:cNvGrpSpPr/>
        </xdr:nvGrpSpPr>
        <xdr:grpSpPr>
          <a:xfrm>
            <a:off x="571500" y="1838325"/>
            <a:ext cx="5305429" cy="596207"/>
            <a:chOff x="666377" y="7686675"/>
            <a:chExt cx="5271008" cy="596207"/>
          </a:xfrm>
        </xdr:grpSpPr>
        <xdr:sp macro="" textlink="">
          <xdr:nvSpPr>
            <xdr:cNvPr id="82" name="文字_步驟" descr="在儲存格 D9 中入 =IF(C9=&quot;Apple&quot;,TRUE,FALSE)。正確答案為 TRUE。 &#10;&#10;&#10;">
              <a:extLst>
                <a:ext uri="{FF2B5EF4-FFF2-40B4-BE49-F238E27FC236}">
                  <a16:creationId xmlns:a16="http://schemas.microsoft.com/office/drawing/2014/main" id="{C9F56A19-70D3-4628-8709-84489EA24BB0}"/>
                </a:ext>
              </a:extLst>
            </xdr:cNvPr>
            <xdr:cNvSpPr txBox="1"/>
          </xdr:nvSpPr>
          <xdr:spPr>
            <a:xfrm>
              <a:off x="1074075" y="7728633"/>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在儲存格 D9 中輸入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=IF(C9="蘋果",TRUE,FALSE)</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。正確答案為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TRUE</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83" name="圖案_步驟" descr="1">
              <a:extLst>
                <a:ext uri="{FF2B5EF4-FFF2-40B4-BE49-F238E27FC236}">
                  <a16:creationId xmlns:a16="http://schemas.microsoft.com/office/drawing/2014/main" id="{174BEEAC-1D05-4BA3-8D44-772CDEFA2E58}"/>
                </a:ext>
              </a:extLst>
            </xdr:cNvPr>
            <xdr:cNvSpPr/>
          </xdr:nvSpPr>
          <xdr:spPr>
            <a:xfrm>
              <a:off x="666377" y="7686675"/>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grpSp>
        <xdr:nvGrpSpPr>
          <xdr:cNvPr id="84" name="圖形_步驟">
            <a:extLst>
              <a:ext uri="{FF2B5EF4-FFF2-40B4-BE49-F238E27FC236}">
                <a16:creationId xmlns:a16="http://schemas.microsoft.com/office/drawing/2014/main" id="{685246AB-9501-4CF4-B780-BCFC62DE94CD}"/>
              </a:ext>
            </a:extLst>
          </xdr:cNvPr>
          <xdr:cNvGrpSpPr/>
        </xdr:nvGrpSpPr>
        <xdr:grpSpPr>
          <a:xfrm>
            <a:off x="571500" y="2416175"/>
            <a:ext cx="5220103" cy="596207"/>
            <a:chOff x="685304" y="7686675"/>
            <a:chExt cx="5186236" cy="596207"/>
          </a:xfrm>
        </xdr:grpSpPr>
        <xdr:sp macro="" textlink="">
          <xdr:nvSpPr>
            <xdr:cNvPr id="85" name="文字_步驟" descr="將 D9 複製到 D10。此處的答案應為 FALSE，因為橘子不是蘋果。&#10;&#10;">
              <a:extLst>
                <a:ext uri="{FF2B5EF4-FFF2-40B4-BE49-F238E27FC236}">
                  <a16:creationId xmlns:a16="http://schemas.microsoft.com/office/drawing/2014/main" id="{D8F2AE5E-974E-4202-A290-3F2D0EFF00C4}"/>
                </a:ext>
              </a:extLst>
            </xdr:cNvPr>
            <xdr:cNvSpPr txBox="1"/>
          </xdr:nvSpPr>
          <xdr:spPr>
            <a:xfrm>
              <a:off x="1093001" y="7728633"/>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將 D9 複製到 D10。此處的答案應為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FALSE</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，因為橘子不是蘋果。</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86" name="圖案_步驟" descr="2">
              <a:extLst>
                <a:ext uri="{FF2B5EF4-FFF2-40B4-BE49-F238E27FC236}">
                  <a16:creationId xmlns:a16="http://schemas.microsoft.com/office/drawing/2014/main" id="{19487CBB-1C21-45D8-828F-6A02011E52A3}"/>
                </a:ext>
              </a:extLst>
            </xdr:cNvPr>
            <xdr:cNvSpPr/>
          </xdr:nvSpPr>
          <xdr:spPr>
            <a:xfrm>
              <a:off x="685304" y="768667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grpSp>
        <xdr:nvGrpSpPr>
          <xdr:cNvPr id="87" name="圖形_步驟">
            <a:extLst>
              <a:ext uri="{FF2B5EF4-FFF2-40B4-BE49-F238E27FC236}">
                <a16:creationId xmlns:a16="http://schemas.microsoft.com/office/drawing/2014/main" id="{90938F22-5BF3-4461-BD80-06D3D6849C8F}"/>
              </a:ext>
            </a:extLst>
          </xdr:cNvPr>
          <xdr:cNvGrpSpPr/>
        </xdr:nvGrpSpPr>
        <xdr:grpSpPr>
          <a:xfrm>
            <a:off x="571500" y="3041650"/>
            <a:ext cx="5220103" cy="873125"/>
            <a:chOff x="694767" y="7686675"/>
            <a:chExt cx="5186236" cy="873125"/>
          </a:xfrm>
        </xdr:grpSpPr>
        <xdr:sp macro="" textlink="">
          <xdr:nvSpPr>
            <xdr:cNvPr id="88" name="文字_步驟" descr="請查看儲存格 D12 中的公式，嘗試另一個範例。我們讓您從 =IF(C12&lt;100,&quot;小於 100&quot;,&quot;大於或等於 100&quot;) 開始練習。如果您在儲存格 C12 中輸入大於 100 的數值，會發生什麼情況？&#10;&#10;&#10;">
              <a:extLst>
                <a:ext uri="{FF2B5EF4-FFF2-40B4-BE49-F238E27FC236}">
                  <a16:creationId xmlns:a16="http://schemas.microsoft.com/office/drawing/2014/main" id="{E7088066-5C93-42EC-B66E-113D20980BB7}"/>
                </a:ext>
              </a:extLst>
            </xdr:cNvPr>
            <xdr:cNvSpPr txBox="1"/>
          </xdr:nvSpPr>
          <xdr:spPr>
            <a:xfrm>
              <a:off x="1102464" y="7728633"/>
              <a:ext cx="4778539" cy="831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請查看儲存格 D12 中的公式，嘗試另一個範例。我們讓您從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=IF(C12&lt;100,"小於 100","大於或等於 100")</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開始練習。如果您在儲存格 C12 中輸入大於或等於 100 的數值，會發生什麼情況？</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89" name="圖案_步驟" descr="3">
              <a:extLst>
                <a:ext uri="{FF2B5EF4-FFF2-40B4-BE49-F238E27FC236}">
                  <a16:creationId xmlns:a16="http://schemas.microsoft.com/office/drawing/2014/main" id="{A56BE1C1-41E9-483F-8A60-96A96BBFD3A7}"/>
                </a:ext>
              </a:extLst>
            </xdr:cNvPr>
            <xdr:cNvSpPr/>
          </xdr:nvSpPr>
          <xdr:spPr>
            <a:xfrm>
              <a:off x="694767" y="768667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grpSp>
    </xdr:grpSp>
    <xdr:clientData/>
  </xdr:twoCellAnchor>
  <xdr:twoCellAnchor editAs="absolute">
    <xdr:from>
      <xdr:col>1</xdr:col>
      <xdr:colOff>3518972</xdr:colOff>
      <xdr:row>19</xdr:row>
      <xdr:rowOff>76200</xdr:rowOff>
    </xdr:from>
    <xdr:to>
      <xdr:col>1</xdr:col>
      <xdr:colOff>4794142</xdr:colOff>
      <xdr:row>21</xdr:row>
      <xdr:rowOff>30649</xdr:rowOff>
    </xdr:to>
    <xdr:sp macro="" textlink="">
      <xdr:nvSpPr>
        <xdr:cNvPr id="90" name="[下一個] 按鈕" descr="前往下一個工作表">
          <a:hlinkClick xmlns:r="http://schemas.openxmlformats.org/officeDocument/2006/relationships" r:id="rId1" tooltip="按一下這裡前往下一個工作表"/>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xdr:twoCellAnchor>
  <xdr:twoCellAnchor editAs="absolute">
    <xdr:from>
      <xdr:col>2</xdr:col>
      <xdr:colOff>572494</xdr:colOff>
      <xdr:row>13</xdr:row>
      <xdr:rowOff>173238</xdr:rowOff>
    </xdr:from>
    <xdr:to>
      <xdr:col>4</xdr:col>
      <xdr:colOff>628651</xdr:colOff>
      <xdr:row>21</xdr:row>
      <xdr:rowOff>57148</xdr:rowOff>
    </xdr:to>
    <xdr:grpSp>
      <xdr:nvGrpSpPr>
        <xdr:cNvPr id="91" name="要訣詳述" descr="要訣詳述&#10;&#10;">
          <a:extLst>
            <a:ext uri="{FF2B5EF4-FFF2-40B4-BE49-F238E27FC236}">
              <a16:creationId xmlns:a16="http://schemas.microsoft.com/office/drawing/2014/main" id="{4DBA7152-B8FD-4056-917A-B7F06AE8B67E}"/>
            </a:ext>
          </a:extLst>
        </xdr:cNvPr>
        <xdr:cNvGrpSpPr/>
      </xdr:nvGrpSpPr>
      <xdr:grpSpPr>
        <a:xfrm>
          <a:off x="7135219" y="3221238"/>
          <a:ext cx="3780432" cy="1407910"/>
          <a:chOff x="6863991" y="11363325"/>
          <a:chExt cx="2510652" cy="1199442"/>
        </a:xfrm>
      </xdr:grpSpPr>
      <xdr:sp macro="" textlink="">
        <xdr:nvSpPr>
          <xdr:cNvPr id="92" name="指示"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300743"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要訣詳述</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rtl="0" eaLnBrk="1" fontAlgn="auto" latinLnBrk="0" hangingPunct="1"/>
            <a:r>
              <a:rPr lang="zh-tw" sz="1100" b="1" i="0" kern="1200" baseline="0">
                <a:solidFill>
                  <a:schemeClr val="dk1"/>
                </a:solidFill>
                <a:effectLst/>
                <a:latin typeface="+mn-lt"/>
                <a:ea typeface="Microsoft JhengHei UI" panose="020B0604030504040204" pitchFamily="34" charset="-120"/>
                <a:cs typeface="+mn-cs"/>
              </a:rPr>
              <a:t>TRUE</a:t>
            </a:r>
            <a:r>
              <a:rPr lang="zh-tw" sz="1100" b="0" i="0" kern="1200" baseline="0">
                <a:solidFill>
                  <a:schemeClr val="dk1"/>
                </a:solidFill>
                <a:effectLst/>
                <a:latin typeface="+mn-lt"/>
                <a:ea typeface="Microsoft JhengHei UI" panose="020B0604030504040204" pitchFamily="34" charset="-120"/>
                <a:cs typeface="+mn-cs"/>
              </a:rPr>
              <a:t> 和 </a:t>
            </a:r>
            <a:r>
              <a:rPr lang="zh-tw" sz="1100" b="1" i="0" kern="1200" baseline="0">
                <a:solidFill>
                  <a:schemeClr val="dk1"/>
                </a:solidFill>
                <a:effectLst/>
                <a:latin typeface="+mn-lt"/>
                <a:ea typeface="Microsoft JhengHei UI" panose="020B0604030504040204" pitchFamily="34" charset="-120"/>
                <a:cs typeface="+mn-cs"/>
              </a:rPr>
              <a:t>FALSE</a:t>
            </a:r>
            <a:r>
              <a:rPr lang="zh-tw" sz="1100" b="0" i="0" kern="1200" baseline="0">
                <a:solidFill>
                  <a:schemeClr val="dk1"/>
                </a:solidFill>
                <a:effectLst/>
                <a:latin typeface="+mn-lt"/>
                <a:ea typeface="Microsoft JhengHei UI" panose="020B0604030504040204" pitchFamily="34" charset="-120"/>
                <a:cs typeface="+mn-cs"/>
              </a:rPr>
              <a:t> 不同於 Excel 公式中的其他文字，它們不需要加上引號，而且 Excel 會自動將它們轉為大寫。數值也不需要加上引號。一般文字 (例如</a:t>
            </a:r>
            <a:r>
              <a:rPr lang="zh-tw" sz="1100" b="1" i="0" kern="1200" baseline="0">
                <a:solidFill>
                  <a:schemeClr val="dk1"/>
                </a:solidFill>
                <a:effectLst/>
                <a:latin typeface="+mn-lt"/>
                <a:ea typeface="Microsoft JhengHei UI" panose="020B0604030504040204" pitchFamily="34" charset="-120"/>
                <a:cs typeface="+mn-cs"/>
              </a:rPr>
              <a:t>是</a:t>
            </a:r>
            <a:r>
              <a:rPr lang="zh-tw" sz="1100" b="0" i="0" kern="1200" baseline="0">
                <a:solidFill>
                  <a:schemeClr val="dk1"/>
                </a:solidFill>
                <a:effectLst/>
                <a:latin typeface="+mn-lt"/>
                <a:ea typeface="Microsoft JhengHei UI" panose="020B0604030504040204" pitchFamily="34" charset="-120"/>
                <a:cs typeface="+mn-cs"/>
              </a:rPr>
              <a:t>或</a:t>
            </a:r>
            <a:r>
              <a:rPr lang="zh-tw" sz="1100" b="1" i="0" kern="1200" baseline="0">
                <a:solidFill>
                  <a:schemeClr val="dk1"/>
                </a:solidFill>
                <a:effectLst/>
                <a:latin typeface="+mn-lt"/>
                <a:ea typeface="Microsoft JhengHei UI" panose="020B0604030504040204" pitchFamily="34" charset="-120"/>
                <a:cs typeface="+mn-cs"/>
              </a:rPr>
              <a:t>否</a:t>
            </a:r>
            <a:r>
              <a:rPr lang="zh-tw" sz="1100" b="0" i="0" kern="1200" baseline="0">
                <a:solidFill>
                  <a:schemeClr val="dk1"/>
                </a:solidFill>
                <a:effectLst/>
                <a:latin typeface="+mn-lt"/>
                <a:ea typeface="Microsoft JhengHei UI" panose="020B0604030504040204" pitchFamily="34" charset="-120"/>
                <a:cs typeface="+mn-cs"/>
              </a:rPr>
              <a:t>) 不需要像這樣加上引號： </a:t>
            </a:r>
          </a:p>
          <a:p>
            <a:pPr rtl="0" eaLnBrk="1" fontAlgn="auto" latinLnBrk="0" hangingPunct="1"/>
            <a:r>
              <a:rPr lang="zh-tw" sz="1100" b="1" kern="1200">
                <a:solidFill>
                  <a:schemeClr val="dk1"/>
                </a:solidFill>
                <a:latin typeface="+mn-lt"/>
                <a:ea typeface="Microsoft JhengHei UI" panose="020B0604030504040204" pitchFamily="34" charset="-120"/>
                <a:cs typeface="+mn-cs"/>
              </a:rPr>
              <a:t>=IF(C</a:t>
            </a:r>
            <a:r>
              <a:rPr lang="en-US" altLang="zh-TW" sz="1100" b="1" kern="1200">
                <a:solidFill>
                  <a:schemeClr val="dk1"/>
                </a:solidFill>
                <a:latin typeface="+mn-lt"/>
                <a:ea typeface="Microsoft JhengHei UI" panose="020B0604030504040204" pitchFamily="34" charset="-120"/>
                <a:cs typeface="+mn-cs"/>
              </a:rPr>
              <a:t>9</a:t>
            </a:r>
            <a:r>
              <a:rPr lang="zh-tw" sz="1100" b="1" kern="1200">
                <a:solidFill>
                  <a:schemeClr val="dk1"/>
                </a:solidFill>
                <a:latin typeface="+mn-lt"/>
                <a:ea typeface="Microsoft JhengHei UI" panose="020B0604030504040204" pitchFamily="34" charset="-120"/>
                <a:cs typeface="+mn-cs"/>
              </a:rPr>
              <a:t>="蘋果","是","否")</a:t>
            </a:r>
            <a:endParaRPr lang="en-US" sz="800" b="1">
              <a:effectLst/>
              <a:ea typeface="Microsoft JhengHei UI" panose="020B0604030504040204" pitchFamily="34" charset="-120"/>
            </a:endParaRPr>
          </a:p>
        </xdr:txBody>
      </xdr:sp>
      <xdr:pic>
        <xdr:nvPicPr>
          <xdr:cNvPr id="93" name="放大鏡" descr="放大鏡">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5311775</xdr:colOff>
      <xdr:row>41</xdr:row>
      <xdr:rowOff>123824</xdr:rowOff>
    </xdr:from>
    <xdr:to>
      <xdr:col>4</xdr:col>
      <xdr:colOff>619125</xdr:colOff>
      <xdr:row>47</xdr:row>
      <xdr:rowOff>95249</xdr:rowOff>
    </xdr:to>
    <xdr:grpSp>
      <xdr:nvGrpSpPr>
        <xdr:cNvPr id="94" name="專家級祕訣" descr="專家級祕訣">
          <a:extLst>
            <a:ext uri="{FF2B5EF4-FFF2-40B4-BE49-F238E27FC236}">
              <a16:creationId xmlns:a16="http://schemas.microsoft.com/office/drawing/2014/main" id="{4F3513E1-6B29-4E54-80FC-E2B36E732D7E}"/>
            </a:ext>
          </a:extLst>
        </xdr:cNvPr>
        <xdr:cNvGrpSpPr/>
      </xdr:nvGrpSpPr>
      <xdr:grpSpPr>
        <a:xfrm>
          <a:off x="6407150" y="8610599"/>
          <a:ext cx="4498975" cy="1114425"/>
          <a:chOff x="8448675" y="2143125"/>
          <a:chExt cx="2971988" cy="1107625"/>
        </a:xfrm>
      </xdr:grpSpPr>
      <xdr:pic>
        <xdr:nvPicPr>
          <xdr:cNvPr id="95" name="圖形 2" descr="貓頭鷹">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392210" cy="444647"/>
          </a:xfrm>
          <a:prstGeom prst="rect">
            <a:avLst/>
          </a:prstGeom>
        </xdr:spPr>
      </xdr:pic>
      <xdr:sp macro="" textlink="">
        <xdr:nvSpPr>
          <xdr:cNvPr id="96" name="步驟"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按一下這裡以從網路深入了解具名範圍。"/>
            <a:extLst>
              <a:ext uri="{FF2B5EF4-FFF2-40B4-BE49-F238E27FC236}">
                <a16:creationId xmlns:a16="http://schemas.microsoft.com/office/drawing/2014/main" id="{CDFC5BF1-DCF8-4B3F-9426-0E409672138F}"/>
              </a:ext>
            </a:extLst>
          </xdr:cNvPr>
          <xdr:cNvSpPr txBox="1"/>
        </xdr:nvSpPr>
        <xdr:spPr>
          <a:xfrm>
            <a:off x="8782052" y="2143125"/>
            <a:ext cx="2638611" cy="1107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專家級祕訣</a:t>
            </a:r>
            <a:endParaRPr lang="en-US" sz="11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sz="1100" b="1" i="1" u="sng">
                <a:solidFill>
                  <a:schemeClr val="accent1"/>
                </a:solidFill>
                <a:latin typeface="Microsoft JhengHei UI" panose="020B0604030504040204" pitchFamily="34" charset="-120"/>
                <a:ea typeface="Microsoft JhengHei UI" panose="020B0604030504040204" pitchFamily="34" charset="-120"/>
              </a:rPr>
              <a:t>具名範圍</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可讓您在單一位置中定義期限或值，然後在整個</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活頁簿中重新使用它們。您可以移至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[公式]</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&gt;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[名稱管理員]</a:t>
            </a:r>
            <a:r>
              <a:rPr sz="1100">
                <a:latin typeface="Microsoft JhengHei UI" panose="020B0604030504040204" pitchFamily="34" charset="-120"/>
                <a:ea typeface="Microsoft JhengHei UI" panose="020B0604030504040204" pitchFamily="34" charset="-120"/>
              </a:rPr>
              <a:t>，以查看此活頁簿中的所有具名範圍。</a:t>
            </a:r>
            <a:r>
              <a:rPr lang="zh-tw" sz="11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按一下這裡以深入了解。</a:t>
            </a:r>
            <a:endParaRPr lang="en-US" sz="1100" b="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twoCellAnchor editAs="absolute">
    <xdr:from>
      <xdr:col>6</xdr:col>
      <xdr:colOff>120651</xdr:colOff>
      <xdr:row>31</xdr:row>
      <xdr:rowOff>128299</xdr:rowOff>
    </xdr:from>
    <xdr:to>
      <xdr:col>10</xdr:col>
      <xdr:colOff>631824</xdr:colOff>
      <xdr:row>40</xdr:row>
      <xdr:rowOff>77654</xdr:rowOff>
    </xdr:to>
    <xdr:grpSp>
      <xdr:nvGrpSpPr>
        <xdr:cNvPr id="97" name="不可不知" descr="不可不知&#10;&#10;">
          <a:extLst>
            <a:ext uri="{FF2B5EF4-FFF2-40B4-BE49-F238E27FC236}">
              <a16:creationId xmlns:a16="http://schemas.microsoft.com/office/drawing/2014/main" id="{B45D0037-257A-421E-9928-F95C71F032DA}"/>
            </a:ext>
          </a:extLst>
        </xdr:cNvPr>
        <xdr:cNvGrpSpPr/>
      </xdr:nvGrpSpPr>
      <xdr:grpSpPr>
        <a:xfrm>
          <a:off x="12065001" y="6633874"/>
          <a:ext cx="3559173" cy="1740055"/>
          <a:chOff x="6778625" y="15619705"/>
          <a:chExt cx="3174461" cy="1671345"/>
        </a:xfrm>
      </xdr:grpSpPr>
      <xdr:sp macro="" textlink="">
        <xdr:nvSpPr>
          <xdr:cNvPr id="98" name="步驟"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建立公式時，Excel 會自動在公式中所參照的任何範圍周圍加上彩色框線，而公式中對應的範圍將會是相同的色彩。如果您選取儲存格 F33 並按下 </a:t>
            </a:r>
            <a:r>
              <a:rPr lang="zh-tw" sz="1100" b="1" i="0" kern="1200" baseline="0">
                <a:solidFill>
                  <a:schemeClr val="dk1"/>
                </a:solidFill>
                <a:effectLst/>
                <a:latin typeface="+mn-lt"/>
                <a:ea typeface="Microsoft JhengHei UI" panose="020B0604030504040204" pitchFamily="34" charset="-120"/>
                <a:cs typeface="+mn-cs"/>
              </a:rPr>
              <a:t>F2</a:t>
            </a:r>
            <a:r>
              <a:rPr lang="zh-tw" sz="1100" b="0" i="0" kern="1200" baseline="0">
                <a:solidFill>
                  <a:schemeClr val="dk1"/>
                </a:solidFill>
                <a:effectLst/>
                <a:latin typeface="+mn-lt"/>
                <a:ea typeface="Microsoft JhengHei UI" panose="020B0604030504040204" pitchFamily="34" charset="-120"/>
                <a:cs typeface="+mn-cs"/>
              </a:rPr>
              <a:t> 來編輯公式，就會看見此情形。</a:t>
            </a:r>
            <a:endParaRPr lang="en-US" sz="1100">
              <a:effectLst/>
              <a:latin typeface="+mn-lt"/>
              <a:ea typeface="Microsoft JhengHei UI" panose="020B0604030504040204" pitchFamily="34" charset="-120"/>
            </a:endParaRPr>
          </a:p>
        </xdr:txBody>
      </xdr:sp>
      <xdr:pic>
        <xdr:nvPicPr>
          <xdr:cNvPr id="99" name="圖形 147" descr="眼鏡">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2319007</xdr:colOff>
      <xdr:row>22</xdr:row>
      <xdr:rowOff>40387</xdr:rowOff>
    </xdr:to>
    <xdr:sp macro="" textlink="">
      <xdr:nvSpPr>
        <xdr:cNvPr id="100" name="按鈕_深入探討" descr="向下瀏覽以取得更多詳細資料">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lientData/>
  </xdr:twoCellAnchor>
  <xdr:twoCellAnchor editAs="absolute">
    <xdr:from>
      <xdr:col>0</xdr:col>
      <xdr:colOff>333375</xdr:colOff>
      <xdr:row>23</xdr:row>
      <xdr:rowOff>47624</xdr:rowOff>
    </xdr:from>
    <xdr:to>
      <xdr:col>1</xdr:col>
      <xdr:colOff>5054600</xdr:colOff>
      <xdr:row>52</xdr:row>
      <xdr:rowOff>184149</xdr:rowOff>
    </xdr:to>
    <xdr:grpSp>
      <xdr:nvGrpSpPr>
        <xdr:cNvPr id="31" name="群組 30">
          <a:extLst>
            <a:ext uri="{FF2B5EF4-FFF2-40B4-BE49-F238E27FC236}">
              <a16:creationId xmlns:a16="http://schemas.microsoft.com/office/drawing/2014/main" id="{D5949D2E-3383-4D0F-B2BE-8F45CB07F6DF}"/>
            </a:ext>
          </a:extLst>
        </xdr:cNvPr>
        <xdr:cNvGrpSpPr/>
      </xdr:nvGrpSpPr>
      <xdr:grpSpPr>
        <a:xfrm>
          <a:off x="333375" y="5000624"/>
          <a:ext cx="5816600" cy="5765800"/>
          <a:chOff x="333375" y="5000624"/>
          <a:chExt cx="5734050" cy="5772150"/>
        </a:xfrm>
      </xdr:grpSpPr>
      <xdr:sp macro="" textlink="">
        <xdr:nvSpPr>
          <xdr:cNvPr id="101" name="文字_導覽背景" descr="背景​​">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文字_導覽標頭" descr="使用另一個函數的 IF 陳述式">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使用另一個函數的 IF 陳述式</a:t>
            </a:r>
          </a:p>
        </xdr:txBody>
      </xdr:sp>
      <xdr:cxnSp macro="">
        <xdr:nvCxnSpPr>
          <xdr:cNvPr id="103" name="文字_導覽線條1" descr="裝飾線條">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文字_導覽線條2" descr="裝飾線條">
            <a:extLst>
              <a:ext uri="{FF2B5EF4-FFF2-40B4-BE49-F238E27FC236}">
                <a16:creationId xmlns:a16="http://schemas.microsoft.com/office/drawing/2014/main" id="{8891E0FB-F07B-444F-B967-54078E830D13}"/>
              </a:ext>
            </a:extLst>
          </xdr:cNvPr>
          <xdr:cNvCxnSpPr>
            <a:cxnSpLocks/>
          </xdr:cNvCxnSpPr>
        </xdr:nvCxnSpPr>
        <xdr:spPr>
          <a:xfrm>
            <a:off x="546103" y="1001624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文字_導覽簡介" descr="如果符合某個條件，IF 陳述式也可以強制執行其他計算。我們將在這裡計算某個儲存格，看看是否應收取營業稅，如果條件為 True，則進行計算。&#10;&#10;">
            <a:extLst>
              <a:ext uri="{FF2B5EF4-FFF2-40B4-BE49-F238E27FC236}">
                <a16:creationId xmlns:a16="http://schemas.microsoft.com/office/drawing/2014/main" id="{ADFF8084-9F56-49BC-A834-D77F4DF98649}"/>
              </a:ext>
            </a:extLst>
          </xdr:cNvPr>
          <xdr:cNvSpPr txBox="1"/>
        </xdr:nvSpPr>
        <xdr:spPr>
          <a:xfrm>
            <a:off x="571663" y="5716150"/>
            <a:ext cx="5251444" cy="703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如果符合某個條件，IF 陳述式也可以強制執行其他計算。我們將在這裡評估某個儲存格，看看是否應收取營業稅，而且如果條件為 True，則進行計算。</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grpSp>
        <xdr:nvGrpSpPr>
          <xdr:cNvPr id="106" name="圖形_步驟">
            <a:extLst>
              <a:ext uri="{FF2B5EF4-FFF2-40B4-BE49-F238E27FC236}">
                <a16:creationId xmlns:a16="http://schemas.microsoft.com/office/drawing/2014/main" id="{5CDE601E-EF9E-420E-80FC-F58C2BA9720A}"/>
              </a:ext>
            </a:extLst>
          </xdr:cNvPr>
          <xdr:cNvGrpSpPr/>
        </xdr:nvGrpSpPr>
        <xdr:grpSpPr>
          <a:xfrm>
            <a:off x="561975" y="6314895"/>
            <a:ext cx="5295900" cy="1076324"/>
            <a:chOff x="581211" y="7638870"/>
            <a:chExt cx="5261541" cy="1076324"/>
          </a:xfrm>
        </xdr:grpSpPr>
        <xdr:sp macro="" textlink="">
          <xdr:nvSpPr>
            <xdr:cNvPr id="107" name="文字_步驟"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998369" y="7680827"/>
              <a:ext cx="4844383" cy="10343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在儲存格 F33 中，我們已輸入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=IF(E33="是",F31*營業稅,0)</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，其中已將「營業稅」設為含有 0.0825 值的</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具名範圍</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。我們的公式表示如果儲存格 E33 等於「是」，則將儲存格 F31 乘以「營業稅」，相反則傳回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嘗試在儲存格 E33 中將「是」變更為「否」，看看計算的變化。</a:t>
              </a:r>
            </a:p>
          </xdr:txBody>
        </xdr:sp>
        <xdr:sp macro="" textlink="">
          <xdr:nvSpPr>
            <xdr:cNvPr id="108" name="圖案_步驟" descr="1">
              <a:extLst>
                <a:ext uri="{FF2B5EF4-FFF2-40B4-BE49-F238E27FC236}">
                  <a16:creationId xmlns:a16="http://schemas.microsoft.com/office/drawing/2014/main" id="{189261EA-9568-4614-85E1-C72A54F4B205}"/>
                </a:ext>
              </a:extLst>
            </xdr:cNvPr>
            <xdr:cNvSpPr/>
          </xdr:nvSpPr>
          <xdr:spPr>
            <a:xfrm>
              <a:off x="581211" y="763887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grpSp>
        <xdr:nvGrpSpPr>
          <xdr:cNvPr id="109" name="圖形_步驟">
            <a:extLst>
              <a:ext uri="{FF2B5EF4-FFF2-40B4-BE49-F238E27FC236}">
                <a16:creationId xmlns:a16="http://schemas.microsoft.com/office/drawing/2014/main" id="{BFF24217-919E-4D15-B472-AB89F019AF8E}"/>
              </a:ext>
            </a:extLst>
          </xdr:cNvPr>
          <xdr:cNvGrpSpPr/>
        </xdr:nvGrpSpPr>
        <xdr:grpSpPr>
          <a:xfrm>
            <a:off x="561975" y="7639030"/>
            <a:ext cx="5229626" cy="876300"/>
            <a:chOff x="581211" y="7791430"/>
            <a:chExt cx="5195697" cy="876300"/>
          </a:xfrm>
        </xdr:grpSpPr>
        <xdr:sp macro="" textlink="">
          <xdr:nvSpPr>
            <xdr:cNvPr id="110" name="文字_步驟" descr="接下來，我們已新增 IF 陳述式以視需要計算運費。在儲存格 F35 中，您會看到 =IF(E35=&quot;是&quot;,SUM(D28:D29)*1.25,0)。這表示「如果儲存格 E35 為「是」，則取得以上表格中的「數量」欄的加總，然後將它乘以 1.25，相反則傳回 0」。&#10;">
              <a:extLst>
                <a:ext uri="{FF2B5EF4-FFF2-40B4-BE49-F238E27FC236}">
                  <a16:creationId xmlns:a16="http://schemas.microsoft.com/office/drawing/2014/main" id="{AEA982A9-56DB-413C-8C06-090FF22D1BCD}"/>
                </a:ext>
              </a:extLst>
            </xdr:cNvPr>
            <xdr:cNvSpPr txBox="1"/>
          </xdr:nvSpPr>
          <xdr:spPr>
            <a:xfrm>
              <a:off x="998369" y="7833388"/>
              <a:ext cx="4778539" cy="83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接下來，我們已新增 IF 陳述式以視需要計算運費。在儲存格 F35 中，您會看到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=IF(E35="是",SUM(D28:D29)*1.25,0)</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。這表示「如果儲存格 E35 為「是」，則取得以上表格中的「數量」欄的加總，然後將它乘以 1.25，相反則傳回 0」。</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1" name="圖案_步驟" descr="2">
              <a:extLst>
                <a:ext uri="{FF2B5EF4-FFF2-40B4-BE49-F238E27FC236}">
                  <a16:creationId xmlns:a16="http://schemas.microsoft.com/office/drawing/2014/main" id="{BCCAD99D-66BF-4E4A-8BE8-EB9E7692B65E}"/>
                </a:ext>
              </a:extLst>
            </xdr:cNvPr>
            <xdr:cNvSpPr/>
          </xdr:nvSpPr>
          <xdr:spPr>
            <a:xfrm>
              <a:off x="581211" y="779143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grpSp>
        <xdr:nvGrpSpPr>
          <xdr:cNvPr id="112" name="圖形_步驟">
            <a:extLst>
              <a:ext uri="{FF2B5EF4-FFF2-40B4-BE49-F238E27FC236}">
                <a16:creationId xmlns:a16="http://schemas.microsoft.com/office/drawing/2014/main" id="{BF6B2B89-C936-492B-9E7C-BBD3854AF4D9}"/>
              </a:ext>
            </a:extLst>
          </xdr:cNvPr>
          <xdr:cNvGrpSpPr/>
        </xdr:nvGrpSpPr>
        <xdr:grpSpPr>
          <a:xfrm>
            <a:off x="561975" y="8677385"/>
            <a:ext cx="5229626" cy="1266836"/>
            <a:chOff x="581211" y="7915385"/>
            <a:chExt cx="5195697" cy="1266836"/>
          </a:xfrm>
        </xdr:grpSpPr>
        <xdr:sp macro="" textlink="">
          <xdr:nvSpPr>
            <xdr:cNvPr id="113" name="文字_步驟" descr="接下來，將儲存格 F35 的公式中的 1.25 變更為「運費」。當您開始輸入時，Excel 的自動修正功能應該會為您找到它。找到後，請按 Tab 來輸入。這是具名範圍，而我們是從 [公式] &gt; [定義名稱] 來輸入。現在，如果您需要變更運費，只需要在一個位置執行，且您可以在活頁簿中的任何位置使用「運費」名稱。&#10;&#10;">
              <a:extLst>
                <a:ext uri="{FF2B5EF4-FFF2-40B4-BE49-F238E27FC236}">
                  <a16:creationId xmlns:a16="http://schemas.microsoft.com/office/drawing/2014/main" id="{A722657B-F5BE-4EA5-BAAE-C570DA0E3B71}"/>
                </a:ext>
              </a:extLst>
            </xdr:cNvPr>
            <xdr:cNvSpPr txBox="1"/>
          </xdr:nvSpPr>
          <xdr:spPr>
            <a:xfrm>
              <a:off x="998369" y="7957354"/>
              <a:ext cx="4778539" cy="1224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接下來，將儲存格 F35 的公式中的 1.25 變更為「</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運費</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」。當您開始輸入時，Excel 的自動修正功能應該會為您找到它。找到時，請按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Tab</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來輸入它。這是</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具名範圍</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，而我們是從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[公式]</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[定義名稱]</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輸入它。現在，如果您需要變更運費，您只需要在同一個位置執行，而且您可以在活頁簿中的任何位置使用「運費」名稱。</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4" name="圖案_步驟" descr="3">
              <a:extLst>
                <a:ext uri="{FF2B5EF4-FFF2-40B4-BE49-F238E27FC236}">
                  <a16:creationId xmlns:a16="http://schemas.microsoft.com/office/drawing/2014/main" id="{9DDD420D-C72F-4430-9995-3824DE1CAC4D}"/>
                </a:ext>
              </a:extLst>
            </xdr:cNvPr>
            <xdr:cNvSpPr/>
          </xdr:nvSpPr>
          <xdr:spPr>
            <a:xfrm>
              <a:off x="581211" y="791538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grpSp>
    </xdr:grpSp>
    <xdr:clientData/>
  </xdr:twoCellAnchor>
  <xdr:twoCellAnchor editAs="absolute">
    <xdr:from>
      <xdr:col>0</xdr:col>
      <xdr:colOff>552450</xdr:colOff>
      <xdr:row>50</xdr:row>
      <xdr:rowOff>57150</xdr:rowOff>
    </xdr:from>
    <xdr:to>
      <xdr:col>1</xdr:col>
      <xdr:colOff>815359</xdr:colOff>
      <xdr:row>52</xdr:row>
      <xdr:rowOff>11599</xdr:rowOff>
    </xdr:to>
    <xdr:sp macro="" textlink="">
      <xdr:nvSpPr>
        <xdr:cNvPr id="115" name="[上一個] 按鈕" descr="回到上一個工作表">
          <a:hlinkClick xmlns:r="http://schemas.openxmlformats.org/officeDocument/2006/relationships" r:id="rId10" tooltip="按一下這裡回到上一個工作表"/>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1</xdr:col>
      <xdr:colOff>3518972</xdr:colOff>
      <xdr:row>50</xdr:row>
      <xdr:rowOff>57150</xdr:rowOff>
    </xdr:from>
    <xdr:to>
      <xdr:col>1</xdr:col>
      <xdr:colOff>4794706</xdr:colOff>
      <xdr:row>52</xdr:row>
      <xdr:rowOff>11599</xdr:rowOff>
    </xdr:to>
    <xdr:sp macro="" textlink="">
      <xdr:nvSpPr>
        <xdr:cNvPr id="116" name="[下一個] 按鈕" descr="前往下一個工作表">
          <a:hlinkClick xmlns:r="http://schemas.openxmlformats.org/officeDocument/2006/relationships" r:id="rId1" tooltip="按一下這裡回到上一個工作表"/>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a:t>
          </a:r>
        </a:p>
      </xdr:txBody>
    </xdr:sp>
    <xdr:clientData fPrintsWithSheet="0"/>
  </xdr:twoCellAnchor>
  <xdr:twoCellAnchor editAs="absolute">
    <xdr:from>
      <xdr:col>0</xdr:col>
      <xdr:colOff>352425</xdr:colOff>
      <xdr:row>53</xdr:row>
      <xdr:rowOff>104775</xdr:rowOff>
    </xdr:from>
    <xdr:to>
      <xdr:col>1</xdr:col>
      <xdr:colOff>5072888</xdr:colOff>
      <xdr:row>66</xdr:row>
      <xdr:rowOff>161925</xdr:rowOff>
    </xdr:to>
    <xdr:grpSp>
      <xdr:nvGrpSpPr>
        <xdr:cNvPr id="117" name="群組 116">
          <a:extLst>
            <a:ext uri="{FF2B5EF4-FFF2-40B4-BE49-F238E27FC236}">
              <a16:creationId xmlns:a16="http://schemas.microsoft.com/office/drawing/2014/main" id="{A4810020-C4C7-483B-BB90-6111CE7B8559}"/>
            </a:ext>
          </a:extLst>
        </xdr:cNvPr>
        <xdr:cNvGrpSpPr/>
      </xdr:nvGrpSpPr>
      <xdr:grpSpPr>
        <a:xfrm>
          <a:off x="352425" y="10877550"/>
          <a:ext cx="5815838" cy="2533650"/>
          <a:chOff x="352425" y="10715625"/>
          <a:chExt cx="5733288" cy="2390775"/>
        </a:xfrm>
      </xdr:grpSpPr>
      <xdr:sp macro="" textlink="">
        <xdr:nvSpPr>
          <xdr:cNvPr id="118" name="矩形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19" name="步驟" descr="更多網路上的資訊&#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Web 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21" name="直線接點 120" descr="裝飾線條">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直線接點 71" descr="裝飾線條">
            <a:extLst>
              <a:ext uri="{FF2B5EF4-FFF2-40B4-BE49-F238E27FC236}">
                <a16:creationId xmlns:a16="http://schemas.microsoft.com/office/drawing/2014/main" id="{C5EC57CE-9B46-46D7-8D21-0D9415D893AF}"/>
              </a:ext>
            </a:extLst>
          </xdr:cNvPr>
          <xdr:cNvCxnSpPr>
            <a:cxnSpLocks/>
          </xdr:cNvCxnSpPr>
        </xdr:nvCxnSpPr>
        <xdr:spPr>
          <a:xfrm>
            <a:off x="544407" y="1131312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直線接點 72" descr="裝飾線條">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57</xdr:row>
      <xdr:rowOff>35644</xdr:rowOff>
    </xdr:from>
    <xdr:to>
      <xdr:col>1</xdr:col>
      <xdr:colOff>2416175</xdr:colOff>
      <xdr:row>59</xdr:row>
      <xdr:rowOff>13723</xdr:rowOff>
    </xdr:to>
    <xdr:grpSp>
      <xdr:nvGrpSpPr>
        <xdr:cNvPr id="30" name="群組 29">
          <a:extLst>
            <a:ext uri="{FF2B5EF4-FFF2-40B4-BE49-F238E27FC236}">
              <a16:creationId xmlns:a16="http://schemas.microsoft.com/office/drawing/2014/main" id="{734055A1-8444-407E-B760-0BF685C60AE8}"/>
            </a:ext>
          </a:extLst>
        </xdr:cNvPr>
        <xdr:cNvGrpSpPr/>
      </xdr:nvGrpSpPr>
      <xdr:grpSpPr>
        <a:xfrm>
          <a:off x="562406" y="11570419"/>
          <a:ext cx="2949144" cy="359079"/>
          <a:chOff x="562406" y="11418019"/>
          <a:chExt cx="2866594" cy="359079"/>
        </a:xfrm>
      </xdr:grpSpPr>
      <xdr:sp macro="" textlink="">
        <xdr:nvSpPr>
          <xdr:cNvPr id="122" name="步驟" descr="深入了解 IF 函數，附有移至網路的超連結&#10;&#10;">
            <a:hlinkClick xmlns:r="http://schemas.openxmlformats.org/officeDocument/2006/relationships" r:id="rId11" tooltip="選取以在網路上深入了解 IF 函數"/>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IF</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123" name="圖形 22" descr="箭號">
            <a:hlinkClick xmlns:r="http://schemas.openxmlformats.org/officeDocument/2006/relationships" r:id="rId11" tooltip="選取以從網路深入了解"/>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59</xdr:row>
      <xdr:rowOff>29710</xdr:rowOff>
    </xdr:from>
    <xdr:to>
      <xdr:col>1</xdr:col>
      <xdr:colOff>2444750</xdr:colOff>
      <xdr:row>61</xdr:row>
      <xdr:rowOff>13099</xdr:rowOff>
    </xdr:to>
    <xdr:grpSp>
      <xdr:nvGrpSpPr>
        <xdr:cNvPr id="29" name="群組 28">
          <a:extLst>
            <a:ext uri="{FF2B5EF4-FFF2-40B4-BE49-F238E27FC236}">
              <a16:creationId xmlns:a16="http://schemas.microsoft.com/office/drawing/2014/main" id="{B13CA61E-C0BF-4685-82BB-1ADFEB7A3BE0}"/>
            </a:ext>
          </a:extLst>
        </xdr:cNvPr>
        <xdr:cNvGrpSpPr/>
      </xdr:nvGrpSpPr>
      <xdr:grpSpPr>
        <a:xfrm>
          <a:off x="562406" y="11945485"/>
          <a:ext cx="2977719" cy="364389"/>
          <a:chOff x="562406" y="11793085"/>
          <a:chExt cx="2895169" cy="364389"/>
        </a:xfrm>
      </xdr:grpSpPr>
      <xdr:sp macro="" textlink="">
        <xdr:nvSpPr>
          <xdr:cNvPr id="124" name="步驟" descr="深入了解 IFS 函數，附有移至網路的超連結&#10;">
            <a:hlinkClick xmlns:r="http://schemas.openxmlformats.org/officeDocument/2006/relationships" r:id="rId14" tooltip="選取以在網路上深入了解 IFS 函數"/>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IFS</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125" name="圖形 22" descr="箭號">
            <a:hlinkClick xmlns:r="http://schemas.openxmlformats.org/officeDocument/2006/relationships" r:id="rId14" tooltip="選取以從網路深入了解"/>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63</xdr:row>
      <xdr:rowOff>60628</xdr:rowOff>
    </xdr:from>
    <xdr:to>
      <xdr:col>1</xdr:col>
      <xdr:colOff>2066217</xdr:colOff>
      <xdr:row>65</xdr:row>
      <xdr:rowOff>44017</xdr:rowOff>
    </xdr:to>
    <xdr:grpSp>
      <xdr:nvGrpSpPr>
        <xdr:cNvPr id="20" name="群組 19">
          <a:extLst>
            <a:ext uri="{FF2B5EF4-FFF2-40B4-BE49-F238E27FC236}">
              <a16:creationId xmlns:a16="http://schemas.microsoft.com/office/drawing/2014/main" id="{0552D274-B7DD-441F-82AB-F9C18F3F1907}"/>
            </a:ext>
          </a:extLst>
        </xdr:cNvPr>
        <xdr:cNvGrpSpPr/>
      </xdr:nvGrpSpPr>
      <xdr:grpSpPr>
        <a:xfrm>
          <a:off x="562406" y="12738403"/>
          <a:ext cx="2599186" cy="364389"/>
          <a:chOff x="562406" y="12586003"/>
          <a:chExt cx="2516636" cy="364389"/>
        </a:xfrm>
      </xdr:grpSpPr>
      <xdr:sp macro="" textlink="">
        <xdr:nvSpPr>
          <xdr:cNvPr id="126" name="步驟" descr="免費的 Excel 線上訓練，附有移至網路的超連結&#10;">
            <a:hlinkClick xmlns:r="http://schemas.openxmlformats.org/officeDocument/2006/relationships" r:id="rId15" tooltip="選取以從網路了解免費的 Excel 線上訓練"/>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免費的 Excel 線上訓練</a:t>
            </a:r>
          </a:p>
        </xdr:txBody>
      </xdr:sp>
      <xdr:pic>
        <xdr:nvPicPr>
          <xdr:cNvPr id="127" name="圖形 22" descr="箭號">
            <a:hlinkClick xmlns:r="http://schemas.openxmlformats.org/officeDocument/2006/relationships" r:id="rId15" tooltip="選取以從網路深入了解"/>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61</xdr:row>
      <xdr:rowOff>29086</xdr:rowOff>
    </xdr:from>
    <xdr:to>
      <xdr:col>1</xdr:col>
      <xdr:colOff>2444750</xdr:colOff>
      <xdr:row>63</xdr:row>
      <xdr:rowOff>12475</xdr:rowOff>
    </xdr:to>
    <xdr:grpSp>
      <xdr:nvGrpSpPr>
        <xdr:cNvPr id="25" name="群組 24">
          <a:extLst>
            <a:ext uri="{FF2B5EF4-FFF2-40B4-BE49-F238E27FC236}">
              <a16:creationId xmlns:a16="http://schemas.microsoft.com/office/drawing/2014/main" id="{F1DB9CDB-5B09-4600-8014-FE097D5CAA92}"/>
            </a:ext>
          </a:extLst>
        </xdr:cNvPr>
        <xdr:cNvGrpSpPr/>
      </xdr:nvGrpSpPr>
      <xdr:grpSpPr>
        <a:xfrm>
          <a:off x="562406" y="12325861"/>
          <a:ext cx="2977719" cy="364389"/>
          <a:chOff x="562406" y="12173461"/>
          <a:chExt cx="2895169" cy="364389"/>
        </a:xfrm>
      </xdr:grpSpPr>
      <xdr:sp macro="" textlink="">
        <xdr:nvSpPr>
          <xdr:cNvPr id="128" name="步驟" descr="進階 IF 陳述式，附有移至網路的超連結&#10;">
            <a:hlinkClick xmlns:r="http://schemas.openxmlformats.org/officeDocument/2006/relationships" r:id="rId16" tooltip="選取以在網路上深入了解進階 IF 陳述式"/>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進階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IF</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陳述式</a:t>
            </a:r>
          </a:p>
        </xdr:txBody>
      </xdr:sp>
      <xdr:pic>
        <xdr:nvPicPr>
          <xdr:cNvPr id="129" name="圖形 22" descr="箭號">
            <a:hlinkClick xmlns:r="http://schemas.openxmlformats.org/officeDocument/2006/relationships" r:id="rId16" tooltip="選取以從網路深入了解"/>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450850</xdr:colOff>
      <xdr:row>47</xdr:row>
      <xdr:rowOff>180975</xdr:rowOff>
    </xdr:from>
    <xdr:to>
      <xdr:col>3</xdr:col>
      <xdr:colOff>1850665</xdr:colOff>
      <xdr:row>59</xdr:row>
      <xdr:rowOff>104499</xdr:rowOff>
    </xdr:to>
    <xdr:pic>
      <xdr:nvPicPr>
        <xdr:cNvPr id="2" name="圖片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7013575" y="9810750"/>
          <a:ext cx="2876190" cy="22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333375</xdr:colOff>
      <xdr:row>0</xdr:row>
      <xdr:rowOff>361950</xdr:rowOff>
    </xdr:from>
    <xdr:to>
      <xdr:col>1</xdr:col>
      <xdr:colOff>5219700</xdr:colOff>
      <xdr:row>31</xdr:row>
      <xdr:rowOff>100013</xdr:rowOff>
    </xdr:to>
    <xdr:sp macro="" textlink="">
      <xdr:nvSpPr>
        <xdr:cNvPr id="81" name="文字_導覽背景" descr="背景​​">
          <a:extLst>
            <a:ext uri="{FF2B5EF4-FFF2-40B4-BE49-F238E27FC236}">
              <a16:creationId xmlns:a16="http://schemas.microsoft.com/office/drawing/2014/main" id="{CCCCB7BF-CE8C-47D9-ADC2-CAB1C8F28444}"/>
            </a:ext>
          </a:extLst>
        </xdr:cNvPr>
        <xdr:cNvSpPr/>
      </xdr:nvSpPr>
      <xdr:spPr>
        <a:xfrm>
          <a:off x="333375" y="361950"/>
          <a:ext cx="5734050"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文字_導覽標頭"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VLOOKUP</a:t>
          </a:r>
        </a:p>
      </xdr:txBody>
    </xdr:sp>
    <xdr:clientData/>
  </xdr:twoCellAnchor>
  <xdr:twoCellAnchor>
    <xdr:from>
      <xdr:col>0</xdr:col>
      <xdr:colOff>576276</xdr:colOff>
      <xdr:row>2</xdr:row>
      <xdr:rowOff>76201</xdr:rowOff>
    </xdr:from>
    <xdr:to>
      <xdr:col>1</xdr:col>
      <xdr:colOff>4976799</xdr:colOff>
      <xdr:row>2</xdr:row>
      <xdr:rowOff>76201</xdr:rowOff>
    </xdr:to>
    <xdr:cxnSp macro="">
      <xdr:nvCxnSpPr>
        <xdr:cNvPr id="83" name="文字_導覽線條1" descr="裝飾線條">
          <a:extLst>
            <a:ext uri="{FF2B5EF4-FFF2-40B4-BE49-F238E27FC236}">
              <a16:creationId xmlns:a16="http://schemas.microsoft.com/office/drawing/2014/main" id="{AD07593A-5131-4BF8-AF2C-A67F78121C50}"/>
            </a:ext>
          </a:extLst>
        </xdr:cNvPr>
        <xdr:cNvCxnSpPr>
          <a:cxnSpLocks/>
        </xdr:cNvCxnSpPr>
      </xdr:nvCxnSpPr>
      <xdr:spPr>
        <a:xfrm>
          <a:off x="576276"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26</xdr:row>
      <xdr:rowOff>187829</xdr:rowOff>
    </xdr:from>
    <xdr:to>
      <xdr:col>1</xdr:col>
      <xdr:colOff>4976799</xdr:colOff>
      <xdr:row>26</xdr:row>
      <xdr:rowOff>187829</xdr:rowOff>
    </xdr:to>
    <xdr:cxnSp macro="">
      <xdr:nvCxnSpPr>
        <xdr:cNvPr id="84" name="文字_導覽線條2" descr="裝飾線條">
          <a:extLst>
            <a:ext uri="{FF2B5EF4-FFF2-40B4-BE49-F238E27FC236}">
              <a16:creationId xmlns:a16="http://schemas.microsoft.com/office/drawing/2014/main" id="{9A557736-21EE-450F-A993-CC32130FE9FB}"/>
            </a:ext>
          </a:extLst>
        </xdr:cNvPr>
        <xdr:cNvCxnSpPr>
          <a:cxnSpLocks/>
        </xdr:cNvCxnSpPr>
      </xdr:nvCxnSpPr>
      <xdr:spPr>
        <a:xfrm>
          <a:off x="576276" y="571232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2</xdr:row>
      <xdr:rowOff>109616</xdr:rowOff>
    </xdr:from>
    <xdr:to>
      <xdr:col>1</xdr:col>
      <xdr:colOff>4975382</xdr:colOff>
      <xdr:row>6</xdr:row>
      <xdr:rowOff>0</xdr:rowOff>
    </xdr:to>
    <xdr:sp macro="" textlink="">
      <xdr:nvSpPr>
        <xdr:cNvPr id="85" name="文字_導覽簡介" descr="VLOOKUP 是 Excel 中最廣泛使用的函數之一 (也是我們最愛的項目之一)。VLOOKUP 可讓您查詢左邊欄中的值，然後如果找到相符項目，則在右邊的另一個欄中傳回資訊。VLOOKUP 表示：&#10;&#10;">
          <a:extLst>
            <a:ext uri="{FF2B5EF4-FFF2-40B4-BE49-F238E27FC236}">
              <a16:creationId xmlns:a16="http://schemas.microsoft.com/office/drawing/2014/main" id="{F9326461-020C-4B3F-9364-21D592985D33}"/>
            </a:ext>
          </a:extLst>
        </xdr:cNvPr>
        <xdr:cNvSpPr txBox="1"/>
      </xdr:nvSpPr>
      <xdr:spPr>
        <a:xfrm>
          <a:off x="571663" y="1062116"/>
          <a:ext cx="5251444" cy="652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VLOOKUP 是 Excel 中最廣泛使用的函數之一 (也是我們最愛的項目之一)。VLOOKUP 可讓您查詢左邊欄中的值，然後如果找到相符項目，則在右邊的另一個欄中傳回資訊。VLOOKUP 表示：</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xdr:twoCellAnchor>
  <xdr:twoCellAnchor>
    <xdr:from>
      <xdr:col>0</xdr:col>
      <xdr:colOff>600144</xdr:colOff>
      <xdr:row>19</xdr:row>
      <xdr:rowOff>119038</xdr:rowOff>
    </xdr:from>
    <xdr:to>
      <xdr:col>1</xdr:col>
      <xdr:colOff>4991587</xdr:colOff>
      <xdr:row>23</xdr:row>
      <xdr:rowOff>66675</xdr:rowOff>
    </xdr:to>
    <xdr:grpSp>
      <xdr:nvGrpSpPr>
        <xdr:cNvPr id="3" name="群組 2">
          <a:extLst>
            <a:ext uri="{FF2B5EF4-FFF2-40B4-BE49-F238E27FC236}">
              <a16:creationId xmlns:a16="http://schemas.microsoft.com/office/drawing/2014/main" id="{A668747A-127E-4399-9A99-C2F143BEE89C}"/>
            </a:ext>
          </a:extLst>
        </xdr:cNvPr>
        <xdr:cNvGrpSpPr/>
      </xdr:nvGrpSpPr>
      <xdr:grpSpPr>
        <a:xfrm>
          <a:off x="600144" y="4310038"/>
          <a:ext cx="5486818" cy="709637"/>
          <a:chOff x="561975" y="4357663"/>
          <a:chExt cx="5229626" cy="709637"/>
        </a:xfrm>
      </xdr:grpSpPr>
      <xdr:sp macro="" textlink="">
        <xdr:nvSpPr>
          <xdr:cNvPr id="87" name="文字_步驟" descr="在儲存格 D22 中輸入 =VLOOKUP(C22,C17:D20,2,FALSE)。「蘋果」的正確答案為 50。VLOOKUP 會尋找「蘋果」、找到蘋果，然後移至右邊的另一欄並傳回數量。&#10;&#10;">
            <a:extLst>
              <a:ext uri="{FF2B5EF4-FFF2-40B4-BE49-F238E27FC236}">
                <a16:creationId xmlns:a16="http://schemas.microsoft.com/office/drawing/2014/main" id="{86ABB85B-8210-41EF-B43E-824CD9F5377E}"/>
              </a:ext>
            </a:extLst>
          </xdr:cNvPr>
          <xdr:cNvSpPr txBox="1"/>
        </xdr:nvSpPr>
        <xdr:spPr>
          <a:xfrm>
            <a:off x="981857" y="4399621"/>
            <a:ext cx="4809744" cy="66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在儲存格 D22 中，輸入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=VLOOKUP(C22,C17:D20,2,FALSE)。</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「蘋果」的正確答案為 50。VLOOKUP 尋找「蘋果」、找到它，然後移至右邊的另一欄並傳回數量。</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88" name="圖案_步驟"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clientData/>
  </xdr:twoCellAnchor>
  <xdr:twoCellAnchor>
    <xdr:from>
      <xdr:col>0</xdr:col>
      <xdr:colOff>561975</xdr:colOff>
      <xdr:row>23</xdr:row>
      <xdr:rowOff>119038</xdr:rowOff>
    </xdr:from>
    <xdr:to>
      <xdr:col>1</xdr:col>
      <xdr:colOff>4943876</xdr:colOff>
      <xdr:row>26</xdr:row>
      <xdr:rowOff>143745</xdr:rowOff>
    </xdr:to>
    <xdr:grpSp>
      <xdr:nvGrpSpPr>
        <xdr:cNvPr id="2" name="群組 1">
          <a:extLst>
            <a:ext uri="{FF2B5EF4-FFF2-40B4-BE49-F238E27FC236}">
              <a16:creationId xmlns:a16="http://schemas.microsoft.com/office/drawing/2014/main" id="{7248ACEA-EF5C-407C-9476-B09DAE8F48D8}"/>
            </a:ext>
          </a:extLst>
        </xdr:cNvPr>
        <xdr:cNvGrpSpPr/>
      </xdr:nvGrpSpPr>
      <xdr:grpSpPr>
        <a:xfrm>
          <a:off x="561975" y="5072038"/>
          <a:ext cx="5477276" cy="596207"/>
          <a:chOff x="523875" y="5072038"/>
          <a:chExt cx="5220101" cy="596207"/>
        </a:xfrm>
      </xdr:grpSpPr>
      <xdr:sp macro="" textlink="">
        <xdr:nvSpPr>
          <xdr:cNvPr id="90" name="文字_步驟" descr="現在請親自在儲存格 G22 的「肉品」區段中試試看。最後應該會顯示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現在請親自在儲存格 G22 的「肉品」區段中試試看。最後應該顯示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=VLOOKUP(F22,F17:G20,2,FALSE)</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91" name="圖案_步驟"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clientData/>
  </xdr:twoCellAnchor>
  <xdr:twoCellAnchor editAs="absolute">
    <xdr:from>
      <xdr:col>1</xdr:col>
      <xdr:colOff>3519536</xdr:colOff>
      <xdr:row>27</xdr:row>
      <xdr:rowOff>176188</xdr:rowOff>
    </xdr:from>
    <xdr:to>
      <xdr:col>1</xdr:col>
      <xdr:colOff>4794706</xdr:colOff>
      <xdr:row>29</xdr:row>
      <xdr:rowOff>130637</xdr:rowOff>
    </xdr:to>
    <xdr:sp macro="" textlink="">
      <xdr:nvSpPr>
        <xdr:cNvPr id="92" name="[下一個] 按鈕" descr="前往下一個工作表">
          <a:hlinkClick xmlns:r="http://schemas.openxmlformats.org/officeDocument/2006/relationships" r:id="rId1" tooltip="按一下這裡前往下一個工作表"/>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xdr:twoCellAnchor>
  <xdr:twoCellAnchor>
    <xdr:from>
      <xdr:col>0</xdr:col>
      <xdr:colOff>333375</xdr:colOff>
      <xdr:row>59</xdr:row>
      <xdr:rowOff>123796</xdr:rowOff>
    </xdr:from>
    <xdr:to>
      <xdr:col>1</xdr:col>
      <xdr:colOff>5218938</xdr:colOff>
      <xdr:row>75</xdr:row>
      <xdr:rowOff>171449</xdr:rowOff>
    </xdr:to>
    <xdr:grpSp>
      <xdr:nvGrpSpPr>
        <xdr:cNvPr id="93" name="群組 92">
          <a:extLst>
            <a:ext uri="{FF2B5EF4-FFF2-40B4-BE49-F238E27FC236}">
              <a16:creationId xmlns:a16="http://schemas.microsoft.com/office/drawing/2014/main" id="{6AD4BB42-C99A-40EC-9E51-AFE390CD9507}"/>
            </a:ext>
          </a:extLst>
        </xdr:cNvPr>
        <xdr:cNvGrpSpPr/>
      </xdr:nvGrpSpPr>
      <xdr:grpSpPr>
        <a:xfrm>
          <a:off x="333375" y="11934796"/>
          <a:ext cx="5980938" cy="3095653"/>
          <a:chOff x="0" y="5524499"/>
          <a:chExt cx="5695950" cy="3095653"/>
        </a:xfrm>
      </xdr:grpSpPr>
      <xdr:sp macro="" textlink="">
        <xdr:nvSpPr>
          <xdr:cNvPr id="94" name="矩形 93">
            <a:extLst>
              <a:ext uri="{FF2B5EF4-FFF2-40B4-BE49-F238E27FC236}">
                <a16:creationId xmlns:a16="http://schemas.microsoft.com/office/drawing/2014/main" id="{CB220E95-575B-4BFE-A97A-4AFC50F13B21}"/>
              </a:ext>
            </a:extLst>
          </xdr:cNvPr>
          <xdr:cNvSpPr/>
        </xdr:nvSpPr>
        <xdr:spPr>
          <a:xfrm>
            <a:off x="0" y="5524499"/>
            <a:ext cx="5695950" cy="309565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95" name="步驟" descr="更多網路上的資訊&#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Web 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96" name="直線接點 95" descr="裝飾線條">
            <a:extLst>
              <a:ext uri="{FF2B5EF4-FFF2-40B4-BE49-F238E27FC236}">
                <a16:creationId xmlns:a16="http://schemas.microsoft.com/office/drawing/2014/main" id="{FC75038A-1A57-4810-A200-F441A155BA62}"/>
              </a:ext>
            </a:extLst>
          </xdr:cNvPr>
          <xdr:cNvCxnSpPr>
            <a:cxnSpLocks/>
          </xdr:cNvCxnSpPr>
        </xdr:nvCxnSpPr>
        <xdr:spPr>
          <a:xfrm>
            <a:off x="233234" y="616546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直線接點 96" descr="裝飾線條">
            <a:extLst>
              <a:ext uri="{FF2B5EF4-FFF2-40B4-BE49-F238E27FC236}">
                <a16:creationId xmlns:a16="http://schemas.microsoft.com/office/drawing/2014/main" id="{EAFBA7B8-06DC-4A15-A998-B588F058D108}"/>
              </a:ext>
            </a:extLst>
          </xdr:cNvPr>
          <xdr:cNvCxnSpPr>
            <a:cxnSpLocks/>
          </xdr:cNvCxnSpPr>
        </xdr:nvCxnSpPr>
        <xdr:spPr>
          <a:xfrm>
            <a:off x="233234" y="8340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63</xdr:row>
      <xdr:rowOff>121341</xdr:rowOff>
    </xdr:from>
    <xdr:to>
      <xdr:col>1</xdr:col>
      <xdr:colOff>2581275</xdr:colOff>
      <xdr:row>65</xdr:row>
      <xdr:rowOff>99420</xdr:rowOff>
    </xdr:to>
    <xdr:grpSp>
      <xdr:nvGrpSpPr>
        <xdr:cNvPr id="17" name="群組 16">
          <a:extLst>
            <a:ext uri="{FF2B5EF4-FFF2-40B4-BE49-F238E27FC236}">
              <a16:creationId xmlns:a16="http://schemas.microsoft.com/office/drawing/2014/main" id="{AA259A6F-5BA1-4BA7-97B7-539D915D1A18}"/>
            </a:ext>
          </a:extLst>
        </xdr:cNvPr>
        <xdr:cNvGrpSpPr/>
      </xdr:nvGrpSpPr>
      <xdr:grpSpPr>
        <a:xfrm>
          <a:off x="562406" y="12694341"/>
          <a:ext cx="3114244" cy="359079"/>
          <a:chOff x="562406" y="12494316"/>
          <a:chExt cx="2866594" cy="359079"/>
        </a:xfrm>
      </xdr:grpSpPr>
      <xdr:sp macro="" textlink="">
        <xdr:nvSpPr>
          <xdr:cNvPr id="98" name="步驟" descr="深入了解 VLOOKUP 函數，附有移至網路的超連結&#10;&#10;">
            <a:hlinkClick xmlns:r="http://schemas.openxmlformats.org/officeDocument/2006/relationships" r:id="rId2" tooltip="選取以在網路上深入了解 VLOOKUP 函數"/>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VLOOKUP</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99" name="圖形 22" descr="箭號">
            <a:hlinkClick xmlns:r="http://schemas.openxmlformats.org/officeDocument/2006/relationships" r:id="rId2" tooltip="選取以從網路深入了解"/>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65</xdr:row>
      <xdr:rowOff>126962</xdr:rowOff>
    </xdr:from>
    <xdr:to>
      <xdr:col>1</xdr:col>
      <xdr:colOff>2990850</xdr:colOff>
      <xdr:row>67</xdr:row>
      <xdr:rowOff>110351</xdr:rowOff>
    </xdr:to>
    <xdr:grpSp>
      <xdr:nvGrpSpPr>
        <xdr:cNvPr id="16" name="群組 15">
          <a:extLst>
            <a:ext uri="{FF2B5EF4-FFF2-40B4-BE49-F238E27FC236}">
              <a16:creationId xmlns:a16="http://schemas.microsoft.com/office/drawing/2014/main" id="{79235089-8072-43CC-BE8C-67B41C2F383F}"/>
            </a:ext>
          </a:extLst>
        </xdr:cNvPr>
        <xdr:cNvGrpSpPr/>
      </xdr:nvGrpSpPr>
      <xdr:grpSpPr>
        <a:xfrm>
          <a:off x="562406" y="13080962"/>
          <a:ext cx="3523819" cy="364389"/>
          <a:chOff x="562406" y="12880937"/>
          <a:chExt cx="3276169" cy="364389"/>
        </a:xfrm>
      </xdr:grpSpPr>
      <xdr:sp macro="" textlink="">
        <xdr:nvSpPr>
          <xdr:cNvPr id="100" name="步驟" descr="深入了解 INDEX/MATCH 函數，附有移至網路的超連結&#10;">
            <a:hlinkClick xmlns:r="http://schemas.openxmlformats.org/officeDocument/2006/relationships" r:id="rId5" tooltip="選取以在網路上深入了解 INDEX/MATCH 函數"/>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INDEX/MATCH</a:t>
            </a:r>
            <a:r>
              <a:rPr lang="zh-tw" sz="1100" b="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101" name="圖形 22" descr="箭號">
            <a:hlinkClick xmlns:r="http://schemas.openxmlformats.org/officeDocument/2006/relationships" r:id="rId5" tooltip="選取以從網路深入了解"/>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71</xdr:row>
      <xdr:rowOff>174900</xdr:rowOff>
    </xdr:from>
    <xdr:to>
      <xdr:col>1</xdr:col>
      <xdr:colOff>2231317</xdr:colOff>
      <xdr:row>73</xdr:row>
      <xdr:rowOff>158289</xdr:rowOff>
    </xdr:to>
    <xdr:grpSp>
      <xdr:nvGrpSpPr>
        <xdr:cNvPr id="6" name="群組 5">
          <a:extLst>
            <a:ext uri="{FF2B5EF4-FFF2-40B4-BE49-F238E27FC236}">
              <a16:creationId xmlns:a16="http://schemas.microsoft.com/office/drawing/2014/main" id="{5C999AAF-BC52-4D03-84CC-9A10F67B8111}"/>
            </a:ext>
          </a:extLst>
        </xdr:cNvPr>
        <xdr:cNvGrpSpPr/>
      </xdr:nvGrpSpPr>
      <xdr:grpSpPr>
        <a:xfrm>
          <a:off x="562406" y="14271900"/>
          <a:ext cx="2764286" cy="364389"/>
          <a:chOff x="562406" y="14071875"/>
          <a:chExt cx="2516636" cy="364389"/>
        </a:xfrm>
      </xdr:grpSpPr>
      <xdr:sp macro="" textlink="">
        <xdr:nvSpPr>
          <xdr:cNvPr id="102" name="步驟" descr="免費的 Excel 線上訓練，附有移至網路的超連結&#10;">
            <a:hlinkClick xmlns:r="http://schemas.openxmlformats.org/officeDocument/2006/relationships" r:id="rId6" tooltip="選取以了解網路上免費的 Excel 訓練"/>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免費的 Excel 線上訓練</a:t>
            </a:r>
          </a:p>
        </xdr:txBody>
      </xdr:sp>
      <xdr:pic>
        <xdr:nvPicPr>
          <xdr:cNvPr id="103" name="圖形 22" descr="箭號">
            <a:hlinkClick xmlns:r="http://schemas.openxmlformats.org/officeDocument/2006/relationships" r:id="rId6" tooltip="選取以從網路深入了解"/>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67</xdr:row>
      <xdr:rowOff>137893</xdr:rowOff>
    </xdr:from>
    <xdr:to>
      <xdr:col>1</xdr:col>
      <xdr:colOff>2609850</xdr:colOff>
      <xdr:row>69</xdr:row>
      <xdr:rowOff>121282</xdr:rowOff>
    </xdr:to>
    <xdr:grpSp>
      <xdr:nvGrpSpPr>
        <xdr:cNvPr id="8" name="群組 7">
          <a:extLst>
            <a:ext uri="{FF2B5EF4-FFF2-40B4-BE49-F238E27FC236}">
              <a16:creationId xmlns:a16="http://schemas.microsoft.com/office/drawing/2014/main" id="{F2122903-3464-4677-84BC-66087719FF0D}"/>
            </a:ext>
          </a:extLst>
        </xdr:cNvPr>
        <xdr:cNvGrpSpPr/>
      </xdr:nvGrpSpPr>
      <xdr:grpSpPr>
        <a:xfrm>
          <a:off x="562406" y="13472893"/>
          <a:ext cx="3142819" cy="364389"/>
          <a:chOff x="562406" y="13272868"/>
          <a:chExt cx="2895169" cy="364389"/>
        </a:xfrm>
      </xdr:grpSpPr>
      <xdr:sp macro="" textlink="">
        <xdr:nvSpPr>
          <xdr:cNvPr id="104" name="步驟" descr="深入了解 IFERROR 函數，附有移至網路的超連結&#10;">
            <a:hlinkClick xmlns:r="http://schemas.openxmlformats.org/officeDocument/2006/relationships" r:id="rId7" tooltip="選取以在網路上深入了解 IFERROR 函數"/>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IFERROR</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pic>
        <xdr:nvPicPr>
          <xdr:cNvPr id="105" name="圖形 22" descr="箭號">
            <a:hlinkClick xmlns:r="http://schemas.openxmlformats.org/officeDocument/2006/relationships" r:id="rId7" tooltip="選取以從網路深入了解"/>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69</xdr:row>
      <xdr:rowOff>148824</xdr:rowOff>
    </xdr:from>
    <xdr:to>
      <xdr:col>1</xdr:col>
      <xdr:colOff>3190874</xdr:colOff>
      <xdr:row>71</xdr:row>
      <xdr:rowOff>132213</xdr:rowOff>
    </xdr:to>
    <xdr:grpSp>
      <xdr:nvGrpSpPr>
        <xdr:cNvPr id="7" name="群組 6">
          <a:extLst>
            <a:ext uri="{FF2B5EF4-FFF2-40B4-BE49-F238E27FC236}">
              <a16:creationId xmlns:a16="http://schemas.microsoft.com/office/drawing/2014/main" id="{56B2B91D-B542-499E-8788-299E4FFAC823}"/>
            </a:ext>
          </a:extLst>
        </xdr:cNvPr>
        <xdr:cNvGrpSpPr/>
      </xdr:nvGrpSpPr>
      <xdr:grpSpPr>
        <a:xfrm>
          <a:off x="562406" y="13864824"/>
          <a:ext cx="3723843" cy="364389"/>
          <a:chOff x="562406" y="13664799"/>
          <a:chExt cx="3476193" cy="364389"/>
        </a:xfrm>
      </xdr:grpSpPr>
      <xdr:sp macro="" textlink="">
        <xdr:nvSpPr>
          <xdr:cNvPr id="106" name="步驟" descr="使用樞紐分析表來分析工作表的資料&#10;">
            <a:hlinkClick xmlns:r="http://schemas.openxmlformats.org/officeDocument/2006/relationships" r:id="rId8" tooltip="選取以在網路上深入了解如何建立樞紐分析表來分析工作表的資料"/>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使用</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樞紐分析表</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來分析</a:t>
            </a:r>
            <a:r>
              <a:rPr lang="zh-tw" sz="1100" u="sng"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工作表的資料</a:t>
            </a:r>
            <a:endPar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107" name="圖形 22" descr="箭號">
            <a:hlinkClick xmlns:r="http://schemas.openxmlformats.org/officeDocument/2006/relationships" r:id="rId8" tooltip="選取以從網路深入了解"/>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27</xdr:row>
      <xdr:rowOff>176188</xdr:rowOff>
    </xdr:from>
    <xdr:to>
      <xdr:col>1</xdr:col>
      <xdr:colOff>2395207</xdr:colOff>
      <xdr:row>30</xdr:row>
      <xdr:rowOff>140375</xdr:rowOff>
    </xdr:to>
    <xdr:sp macro="" textlink="">
      <xdr:nvSpPr>
        <xdr:cNvPr id="116" name="按鈕_深入探討" descr="向下瀏覽以取得更多詳細資料">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群組 116">
          <a:extLst>
            <a:ext uri="{FF2B5EF4-FFF2-40B4-BE49-F238E27FC236}">
              <a16:creationId xmlns:a16="http://schemas.microsoft.com/office/drawing/2014/main" id="{13E6C982-6CD3-4F56-8160-7A99956655B4}"/>
            </a:ext>
          </a:extLst>
        </xdr:cNvPr>
        <xdr:cNvGrpSpPr/>
      </xdr:nvGrpSpPr>
      <xdr:grpSpPr>
        <a:xfrm>
          <a:off x="333375" y="6638897"/>
          <a:ext cx="5981700" cy="5210175"/>
          <a:chOff x="381000" y="6619847"/>
          <a:chExt cx="5734050" cy="5210175"/>
        </a:xfrm>
      </xdr:grpSpPr>
      <xdr:sp macro="" textlink="">
        <xdr:nvSpPr>
          <xdr:cNvPr id="118" name="文字_導覽背景" descr="背景​​">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文字_導覽標頭" descr="VLOOKUP 和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VLOOKUP 和 #N/A</a:t>
            </a:r>
          </a:p>
        </xdr:txBody>
      </xdr:sp>
      <xdr:cxnSp macro="">
        <xdr:nvCxnSpPr>
          <xdr:cNvPr id="120" name="文字_導覽線條1" descr="裝飾線條">
            <a:extLst>
              <a:ext uri="{FF2B5EF4-FFF2-40B4-BE49-F238E27FC236}">
                <a16:creationId xmlns:a16="http://schemas.microsoft.com/office/drawing/2014/main" id="{630863CB-3AD3-41AC-8A46-12E685348E7F}"/>
              </a:ext>
            </a:extLst>
          </xdr:cNvPr>
          <xdr:cNvCxnSpPr>
            <a:cxnSpLocks/>
          </xdr:cNvCxnSpPr>
        </xdr:nvCxnSpPr>
        <xdr:spPr>
          <a:xfrm>
            <a:off x="623901" y="72865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文字_導覽線條2" descr="裝飾線條">
            <a:extLst>
              <a:ext uri="{FF2B5EF4-FFF2-40B4-BE49-F238E27FC236}">
                <a16:creationId xmlns:a16="http://schemas.microsoft.com/office/drawing/2014/main" id="{9714E556-7850-4148-BEC1-BE99A53AD145}"/>
              </a:ext>
            </a:extLst>
          </xdr:cNvPr>
          <xdr:cNvCxnSpPr>
            <a:cxnSpLocks/>
          </xdr:cNvCxnSpPr>
        </xdr:nvCxnSpPr>
        <xdr:spPr>
          <a:xfrm>
            <a:off x="623901" y="1121301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文字_導覽簡介" descr="您總是會遇到 VLOOKUP 找不到您要求的內容，而傳回錯誤 (#N/A) 的情況。有時候，這是因為查詢值不存在，或者可能因為參照儲存格還沒有值。&#10;&#10;">
            <a:extLst>
              <a:ext uri="{FF2B5EF4-FFF2-40B4-BE49-F238E27FC236}">
                <a16:creationId xmlns:a16="http://schemas.microsoft.com/office/drawing/2014/main" id="{14D15DCB-93AB-4F22-9D6D-FBFB2C3479BE}"/>
              </a:ext>
            </a:extLst>
          </xdr:cNvPr>
          <xdr:cNvSpPr txBox="1"/>
        </xdr:nvSpPr>
        <xdr:spPr>
          <a:xfrm>
            <a:off x="619288" y="7320013"/>
            <a:ext cx="5251444" cy="671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您總是會遇到 VLOOKUP 找不到您要求的內容的情況，而且會傳回錯誤 (</a:t>
            </a: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#N/A</a:t>
            </a: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)。有時候，這是因為查詢值不存在，或者可能因為參照儲存格還沒有值。</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grpSp>
        <xdr:nvGrpSpPr>
          <xdr:cNvPr id="123" name="圖形_步驟">
            <a:extLst>
              <a:ext uri="{FF2B5EF4-FFF2-40B4-BE49-F238E27FC236}">
                <a16:creationId xmlns:a16="http://schemas.microsoft.com/office/drawing/2014/main" id="{5965A0D4-2BC5-48D7-B26B-96EE64B5243D}"/>
              </a:ext>
            </a:extLst>
          </xdr:cNvPr>
          <xdr:cNvGrpSpPr/>
        </xdr:nvGrpSpPr>
        <xdr:grpSpPr>
          <a:xfrm>
            <a:off x="619125" y="7819997"/>
            <a:ext cx="5353050" cy="1828828"/>
            <a:chOff x="562285" y="7534275"/>
            <a:chExt cx="5318320" cy="1828828"/>
          </a:xfrm>
        </xdr:grpSpPr>
        <xdr:sp macro="" textlink="">
          <xdr:nvSpPr>
            <xdr:cNvPr id="127" name="文字_步驟"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9442" y="7576233"/>
              <a:ext cx="4901163" cy="17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如果您知道查詢值存在，但想要在查詢儲存格為空白時隱藏錯誤，您可以使用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IF</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陳述式。在此情況下，我們會像這樣在儲存格 D43 中圍繞現有的 VLOOKUP 公式：</a:t>
              </a:r>
              <a:endParaRPr lang="en-US" alt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=IF(C43="","",VLOOKUP(C43,C37:D41,2,FALSE))</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這表示「如果儲存格 C43 不等於任何值 ("")，就不會傳回任何內容，相反則傳回 VLOOKUP 的結果」。請注意公式結尾的第二個右括弧。這會完成 IF 陳述式。</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28" name="圖案_步驟" descr="1">
              <a:extLst>
                <a:ext uri="{FF2B5EF4-FFF2-40B4-BE49-F238E27FC236}">
                  <a16:creationId xmlns:a16="http://schemas.microsoft.com/office/drawing/2014/main" id="{FF268881-27CD-4E87-AFEB-AFD303754FA4}"/>
                </a:ext>
              </a:extLst>
            </xdr:cNvPr>
            <xdr:cNvSpPr/>
          </xdr:nvSpPr>
          <xdr:spPr>
            <a:xfrm>
              <a:off x="562285" y="7534275"/>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grpSp>
        <xdr:nvGrpSpPr>
          <xdr:cNvPr id="124" name="群組 123">
            <a:extLst>
              <a:ext uri="{FF2B5EF4-FFF2-40B4-BE49-F238E27FC236}">
                <a16:creationId xmlns:a16="http://schemas.microsoft.com/office/drawing/2014/main" id="{E6606029-FD51-46CF-AFBE-ED7D2B796703}"/>
              </a:ext>
            </a:extLst>
          </xdr:cNvPr>
          <xdr:cNvGrpSpPr/>
        </xdr:nvGrpSpPr>
        <xdr:grpSpPr>
          <a:xfrm>
            <a:off x="619125" y="9696422"/>
            <a:ext cx="5229624" cy="1266853"/>
            <a:chOff x="11201400" y="3467100"/>
            <a:chExt cx="5229624" cy="1266853"/>
          </a:xfrm>
        </xdr:grpSpPr>
        <xdr:sp macro="" textlink="">
          <xdr:nvSpPr>
            <xdr:cNvPr id="125" name="文字_步驟" descr="如果您不確定查詢值是否存在，但您仍想要隱藏 #N/A 錯誤，您可以在儲存格 G43 中使用稱為 IFERROR 的錯誤處理函數：=IFERROR(VLOOKUP(F43,F37:G41,2,FALSE),&quot;&quot;)。IFERROR 表示如果 VLOOKUP 傳回有效結果，則顯示該結果，相反則不顯示任何結果 (&quot;&quot;)。我們在這裡不顯示任何結果 (&quot;&quot;)，但您也可以使用數值 (0、1、2 等)，或是使用文字，例如「公式不正確」。&#10;&#10;">
              <a:extLst>
                <a:ext uri="{FF2B5EF4-FFF2-40B4-BE49-F238E27FC236}">
                  <a16:creationId xmlns:a16="http://schemas.microsoft.com/office/drawing/2014/main" id="{250F4D35-4886-4A69-B7A9-2E3BC66C4614}"/>
                </a:ext>
              </a:extLst>
            </xdr:cNvPr>
            <xdr:cNvSpPr txBox="1"/>
          </xdr:nvSpPr>
          <xdr:spPr>
            <a:xfrm>
              <a:off x="11621281" y="3556683"/>
              <a:ext cx="4809743" cy="1177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如果您不確定您的查詢值是否存在，但您仍想要隱藏 #N/A 錯誤，您可以在儲存格 G43 中使用稱為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IFERROR</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的錯誤處理函數：</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=IFERROR(VLOOKUP(F43,F37:G41,2,FALSE),"")</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IFERROR</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表示「如果 VLOOKUP 傳回有效結果，則顯示該結果，相反則不顯示任何結果 ("")」。我們在這裡不顯示任何結果 ("")，但您也可以使用數值 (0、1、2 等)，或是使用文字，例如「公式不正確」。</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26" name="圖案_步驟" descr="2">
              <a:extLst>
                <a:ext uri="{FF2B5EF4-FFF2-40B4-BE49-F238E27FC236}">
                  <a16:creationId xmlns:a16="http://schemas.microsoft.com/office/drawing/2014/main" id="{5CAEF7F2-CADC-4405-A740-3677A6585269}"/>
                </a:ext>
              </a:extLst>
            </xdr:cNvPr>
            <xdr:cNvSpPr/>
          </xdr:nvSpPr>
          <xdr:spPr>
            <a:xfrm>
              <a:off x="11201400" y="3467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grpSp>
    <xdr:clientData/>
  </xdr:twoCellAnchor>
  <xdr:twoCellAnchor editAs="absolute">
    <xdr:from>
      <xdr:col>0</xdr:col>
      <xdr:colOff>571500</xdr:colOff>
      <xdr:row>56</xdr:row>
      <xdr:rowOff>180947</xdr:rowOff>
    </xdr:from>
    <xdr:to>
      <xdr:col>1</xdr:col>
      <xdr:colOff>833845</xdr:colOff>
      <xdr:row>58</xdr:row>
      <xdr:rowOff>135396</xdr:rowOff>
    </xdr:to>
    <xdr:sp macro="" textlink="">
      <xdr:nvSpPr>
        <xdr:cNvPr id="129" name="[上一個] 按鈕" descr="回到上一個工作表">
          <a:hlinkClick xmlns:r="http://schemas.openxmlformats.org/officeDocument/2006/relationships" r:id="rId10" tooltip="按一下這裡回到上一個工作表"/>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1</xdr:col>
      <xdr:colOff>3500486</xdr:colOff>
      <xdr:row>56</xdr:row>
      <xdr:rowOff>180947</xdr:rowOff>
    </xdr:from>
    <xdr:to>
      <xdr:col>1</xdr:col>
      <xdr:colOff>4775656</xdr:colOff>
      <xdr:row>58</xdr:row>
      <xdr:rowOff>135396</xdr:rowOff>
    </xdr:to>
    <xdr:sp macro="" textlink="">
      <xdr:nvSpPr>
        <xdr:cNvPr id="130" name="[下一個] 按鈕" descr="前往下一個工作表">
          <a:hlinkClick xmlns:r="http://schemas.openxmlformats.org/officeDocument/2006/relationships" r:id="rId1" tooltip="按一下這裡前往下一個工作表"/>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5</xdr:col>
      <xdr:colOff>288926</xdr:colOff>
      <xdr:row>43</xdr:row>
      <xdr:rowOff>76207</xdr:rowOff>
    </xdr:from>
    <xdr:to>
      <xdr:col>9</xdr:col>
      <xdr:colOff>650876</xdr:colOff>
      <xdr:row>55</xdr:row>
      <xdr:rowOff>28573</xdr:rowOff>
    </xdr:to>
    <xdr:grpSp>
      <xdr:nvGrpSpPr>
        <xdr:cNvPr id="131" name="要訣詳述" descr="要訣詳述&#10;&#10;">
          <a:extLst>
            <a:ext uri="{FF2B5EF4-FFF2-40B4-BE49-F238E27FC236}">
              <a16:creationId xmlns:a16="http://schemas.microsoft.com/office/drawing/2014/main" id="{321AE9BC-CB50-4E20-92DE-ED300BC55383}"/>
            </a:ext>
          </a:extLst>
        </xdr:cNvPr>
        <xdr:cNvGrpSpPr/>
      </xdr:nvGrpSpPr>
      <xdr:grpSpPr>
        <a:xfrm>
          <a:off x="9337676" y="8839207"/>
          <a:ext cx="4171950" cy="2238366"/>
          <a:chOff x="6788150" y="10960177"/>
          <a:chExt cx="3989022" cy="2161914"/>
        </a:xfrm>
      </xdr:grpSpPr>
      <xdr:sp macro="" textlink="">
        <xdr:nvSpPr>
          <xdr:cNvPr id="132" name="指示"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758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要訣詳述</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rtl="0" eaLnBrk="1" fontAlgn="auto" latinLnBrk="0" hangingPunct="1"/>
            <a:r>
              <a:rPr lang="zh-tw" sz="1100" b="1" i="0" kern="1200" baseline="0">
                <a:solidFill>
                  <a:schemeClr val="dk1"/>
                </a:solidFill>
                <a:effectLst/>
                <a:latin typeface="+mn-lt"/>
                <a:ea typeface="Microsoft JhengHei UI" panose="020B0604030504040204" pitchFamily="34" charset="-120"/>
                <a:cs typeface="+mn-cs"/>
              </a:rPr>
              <a:t>IFERROR</a:t>
            </a:r>
            <a:r>
              <a:rPr lang="zh-tw" sz="1100" b="0" i="0" kern="1200" baseline="0">
                <a:solidFill>
                  <a:schemeClr val="dk1"/>
                </a:solidFill>
                <a:effectLst/>
                <a:latin typeface="+mn-lt"/>
                <a:ea typeface="Microsoft JhengHei UI" panose="020B0604030504040204" pitchFamily="34" charset="-120"/>
                <a:cs typeface="+mn-cs"/>
              </a:rPr>
              <a:t> 是所謂的總括錯誤處理常式，也就是說，它會隱藏公式可能傳回的任何錯誤。如果 Excel 通知您公式有合法錯誤需要修正，這可能會導致問題。</a:t>
            </a:r>
          </a:p>
          <a:p>
            <a:pPr rtl="0" eaLnBrk="1" fontAlgn="auto" latinLnBrk="0" hangingPunct="1"/>
            <a:endParaRPr lang="en-US" sz="1100" b="0" i="0" kern="1200" baseline="0">
              <a:solidFill>
                <a:schemeClr val="dk1"/>
              </a:solidFill>
              <a:effectLst/>
              <a:latin typeface="+mn-lt"/>
              <a:ea typeface="Microsoft JhengHei UI" panose="020B0604030504040204" pitchFamily="34" charset="-120"/>
              <a:cs typeface="+mn-cs"/>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基本原則是，在您完全確定公式可以正常運作之前，請不要將錯誤處理常式新增到公式中。</a:t>
            </a:r>
            <a:endParaRPr lang="en-US" sz="1100">
              <a:effectLst/>
              <a:ea typeface="Microsoft JhengHei UI" panose="020B0604030504040204" pitchFamily="34" charset="-120"/>
            </a:endParaRPr>
          </a:p>
        </xdr:txBody>
      </xdr:sp>
      <xdr:pic>
        <xdr:nvPicPr>
          <xdr:cNvPr id="133" name="放大鏡" descr="放大鏡">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箭號" descr="箭號">
            <a:extLst>
              <a:ext uri="{FF2B5EF4-FFF2-40B4-BE49-F238E27FC236}">
                <a16:creationId xmlns:a16="http://schemas.microsoft.com/office/drawing/2014/main" id="{1531872D-805C-4E14-9E2F-6B51D84DF3B2}"/>
              </a:ext>
            </a:extLst>
          </xdr:cNvPr>
          <xdr:cNvSpPr/>
        </xdr:nvSpPr>
        <xdr:spPr>
          <a:xfrm rot="3874191">
            <a:off x="7582706"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p>
        </xdr:txBody>
      </xdr:sp>
    </xdr:grpSp>
    <xdr:clientData/>
  </xdr:twoCellAnchor>
  <xdr:twoCellAnchor>
    <xdr:from>
      <xdr:col>1</xdr:col>
      <xdr:colOff>100019</xdr:colOff>
      <xdr:row>6</xdr:row>
      <xdr:rowOff>66655</xdr:rowOff>
    </xdr:from>
    <xdr:to>
      <xdr:col>1</xdr:col>
      <xdr:colOff>3862394</xdr:colOff>
      <xdr:row>19</xdr:row>
      <xdr:rowOff>113871</xdr:rowOff>
    </xdr:to>
    <xdr:grpSp>
      <xdr:nvGrpSpPr>
        <xdr:cNvPr id="135" name="群組 134">
          <a:extLst>
            <a:ext uri="{FF2B5EF4-FFF2-40B4-BE49-F238E27FC236}">
              <a16:creationId xmlns:a16="http://schemas.microsoft.com/office/drawing/2014/main" id="{6CD3A2DF-2D37-45A6-9A63-6B14AFC74B8A}"/>
            </a:ext>
          </a:extLst>
        </xdr:cNvPr>
        <xdr:cNvGrpSpPr/>
      </xdr:nvGrpSpPr>
      <xdr:grpSpPr>
        <a:xfrm>
          <a:off x="1195394" y="1781155"/>
          <a:ext cx="3762375" cy="2523716"/>
          <a:chOff x="2943225" y="1476375"/>
          <a:chExt cx="3762375" cy="2523716"/>
        </a:xfrm>
      </xdr:grpSpPr>
      <xdr:sp macro="" textlink="">
        <xdr:nvSpPr>
          <xdr:cNvPr id="136" name="公式下方大括弧">
            <a:extLst>
              <a:ext uri="{FF2B5EF4-FFF2-40B4-BE49-F238E27FC236}">
                <a16:creationId xmlns:a16="http://schemas.microsoft.com/office/drawing/2014/main" id="{C914B05B-1B48-413D-9651-8935235A015E}"/>
              </a:ext>
            </a:extLst>
          </xdr:cNvPr>
          <xdr:cNvSpPr/>
        </xdr:nvSpPr>
        <xdr:spPr>
          <a:xfrm rot="16200000">
            <a:off x="5806942" y="2570298"/>
            <a:ext cx="497160" cy="80486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7" name="公式下方大括弧">
            <a:extLst>
              <a:ext uri="{FF2B5EF4-FFF2-40B4-BE49-F238E27FC236}">
                <a16:creationId xmlns:a16="http://schemas.microsoft.com/office/drawing/2014/main" id="{9BCA2C0E-7101-41BF-ADB8-82304B7CF009}"/>
              </a:ext>
            </a:extLst>
          </xdr:cNvPr>
          <xdr:cNvSpPr/>
        </xdr:nvSpPr>
        <xdr:spPr>
          <a:xfrm rot="16200000">
            <a:off x="4805543" y="2700160"/>
            <a:ext cx="497160" cy="54513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138" name="公式上方大括弧">
            <a:extLst>
              <a:ext uri="{FF2B5EF4-FFF2-40B4-BE49-F238E27FC236}">
                <a16:creationId xmlns:a16="http://schemas.microsoft.com/office/drawing/2014/main" id="{DB0B9C93-8027-4F56-A17E-B56ECC2D8969}"/>
              </a:ext>
            </a:extLst>
          </xdr:cNvPr>
          <xdr:cNvSpPr/>
        </xdr:nvSpPr>
        <xdr:spPr>
          <a:xfrm rot="5400000">
            <a:off x="5221150" y="2194063"/>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39" name="公式上方大括弧">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140" name="文字_公式"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zh-tw" sz="2000">
                <a:solidFill>
                  <a:srgbClr val="000000"/>
                </a:solidFill>
                <a:effectLst/>
                <a:latin typeface="Courier New" panose="02070309020205020404" pitchFamily="49" charset="0"/>
                <a:ea typeface="Microsoft JhengHei UI" panose="020B0604030504040204" pitchFamily="34" charset="-120"/>
                <a:cs typeface="Courier New" panose="02070309020205020404" pitchFamily="49" charset="0"/>
              </a:rPr>
              <a:t>=VLOOKUP(A1,B:C,2,FALSE)</a:t>
            </a:r>
            <a:endParaRPr lang="en-US" sz="2000">
              <a:effectLst/>
              <a:latin typeface="Courier New" panose="02070309020205020404" pitchFamily="49" charset="0"/>
              <a:ea typeface="Microsoft JhengHei UI" panose="020B0604030504040204" pitchFamily="34" charset="-120"/>
              <a:cs typeface="Courier New" panose="02070309020205020404" pitchFamily="49" charset="0"/>
            </a:endParaRPr>
          </a:p>
        </xdr:txBody>
      </xdr:sp>
      <xdr:sp macro="" textlink="">
        <xdr:nvSpPr>
          <xdr:cNvPr id="141" name="文字_公式上方圖說文字" descr="您要尋找什麼內容？&#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您要尋找什麼內容？</a:t>
            </a:r>
          </a:p>
        </xdr:txBody>
      </xdr:sp>
      <xdr:sp macro="" textlink="">
        <xdr:nvSpPr>
          <xdr:cNvPr id="142" name="文字_公式上方圖說文字" descr="如果找到了，您要在右邊的幾欄取得值？&#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如果找到了，您要在右邊的幾欄取得值？</a:t>
            </a:r>
          </a:p>
        </xdr:txBody>
      </xdr:sp>
      <xdr:sp macro="" textlink="">
        <xdr:nvSpPr>
          <xdr:cNvPr id="143" name="文字_公式下方圖說文字" descr="您要在哪個位置尋找它？&#10;">
            <a:extLst>
              <a:ext uri="{FF2B5EF4-FFF2-40B4-BE49-F238E27FC236}">
                <a16:creationId xmlns:a16="http://schemas.microsoft.com/office/drawing/2014/main" id="{7A0BF5A2-0462-4CFA-A98B-D5D3A7DC336D}"/>
              </a:ext>
            </a:extLst>
          </xdr:cNvPr>
          <xdr:cNvSpPr txBox="1">
            <a:spLocks noChangeArrowheads="1"/>
          </xdr:cNvSpPr>
        </xdr:nvSpPr>
        <xdr:spPr bwMode="auto">
          <a:xfrm>
            <a:off x="4572000" y="3105150"/>
            <a:ext cx="960438"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您要在哪個位置尋找它？</a:t>
            </a:r>
          </a:p>
        </xdr:txBody>
      </xdr:sp>
      <xdr:sp macro="" textlink="">
        <xdr:nvSpPr>
          <xdr:cNvPr id="144" name="文字_公式下方圖說文字" descr="您想要的是完全符合的項目，還是大約符合的項目？&#10;">
            <a:extLst>
              <a:ext uri="{FF2B5EF4-FFF2-40B4-BE49-F238E27FC236}">
                <a16:creationId xmlns:a16="http://schemas.microsoft.com/office/drawing/2014/main" id="{B53691DA-0A76-4040-8DEE-B27DBF05FE8C}"/>
              </a:ext>
            </a:extLst>
          </xdr:cNvPr>
          <xdr:cNvSpPr txBox="1">
            <a:spLocks noChangeArrowheads="1"/>
          </xdr:cNvSpPr>
        </xdr:nvSpPr>
        <xdr:spPr bwMode="auto">
          <a:xfrm>
            <a:off x="5653087" y="3105150"/>
            <a:ext cx="1028693" cy="894941"/>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您想要的是完全符合，還是大約符合？</a:t>
            </a:r>
          </a:p>
        </xdr:txBody>
      </xdr:sp>
    </xdr:grpSp>
    <xdr:clientData/>
  </xdr:twoCellAnchor>
  <xdr:twoCellAnchor>
    <xdr:from>
      <xdr:col>2</xdr:col>
      <xdr:colOff>1077836</xdr:colOff>
      <xdr:row>22</xdr:row>
      <xdr:rowOff>66674</xdr:rowOff>
    </xdr:from>
    <xdr:to>
      <xdr:col>7</xdr:col>
      <xdr:colOff>209554</xdr:colOff>
      <xdr:row>28</xdr:row>
      <xdr:rowOff>146779</xdr:rowOff>
    </xdr:to>
    <xdr:grpSp>
      <xdr:nvGrpSpPr>
        <xdr:cNvPr id="4" name="群組 3">
          <a:extLst>
            <a:ext uri="{FF2B5EF4-FFF2-40B4-BE49-F238E27FC236}">
              <a16:creationId xmlns:a16="http://schemas.microsoft.com/office/drawing/2014/main" id="{089FFE6E-D9A5-469F-8731-5F616E56C80F}"/>
            </a:ext>
          </a:extLst>
        </xdr:cNvPr>
        <xdr:cNvGrpSpPr/>
      </xdr:nvGrpSpPr>
      <xdr:grpSpPr>
        <a:xfrm>
          <a:off x="7640561" y="4829174"/>
          <a:ext cx="3903743" cy="1223105"/>
          <a:chOff x="7726285" y="4829174"/>
          <a:chExt cx="3173319" cy="1223105"/>
        </a:xfrm>
      </xdr:grpSpPr>
      <xdr:grpSp>
        <xdr:nvGrpSpPr>
          <xdr:cNvPr id="108" name="群組 107">
            <a:extLst>
              <a:ext uri="{FF2B5EF4-FFF2-40B4-BE49-F238E27FC236}">
                <a16:creationId xmlns:a16="http://schemas.microsoft.com/office/drawing/2014/main" id="{03EFBC7C-34AE-450B-A955-411C63A44A84}"/>
              </a:ext>
            </a:extLst>
          </xdr:cNvPr>
          <xdr:cNvGrpSpPr/>
        </xdr:nvGrpSpPr>
        <xdr:grpSpPr>
          <a:xfrm>
            <a:off x="7726285" y="5104177"/>
            <a:ext cx="3173319" cy="948102"/>
            <a:chOff x="6370551" y="2394314"/>
            <a:chExt cx="2474600" cy="948102"/>
          </a:xfrm>
        </xdr:grpSpPr>
        <xdr:sp macro="" textlink="">
          <xdr:nvSpPr>
            <xdr:cNvPr id="109" name="步驟"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2274776"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實驗</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n-lt"/>
                  <a:ea typeface="Microsoft JhengHei UI" panose="020B0604030504040204" pitchFamily="34" charset="-120"/>
                  <a:cs typeface="Segoe UI Light" panose="020B0502040204020203" pitchFamily="34" charset="0"/>
                </a:rPr>
                <a:t>嘗試</a:t>
              </a:r>
              <a:r>
                <a:rPr lang="zh-tw" sz="1100" kern="0" baseline="0">
                  <a:solidFill>
                    <a:schemeClr val="bg2">
                      <a:lumMod val="25000"/>
                    </a:schemeClr>
                  </a:solidFill>
                  <a:latin typeface="+mn-lt"/>
                  <a:ea typeface="Microsoft JhengHei UI" panose="020B0604030504040204" pitchFamily="34" charset="-120"/>
                  <a:cs typeface="Segoe UI Light" panose="020B0502040204020203" pitchFamily="34" charset="0"/>
                </a:rPr>
                <a:t>從下拉式清單選取不同的項目。您會看到結果儲存格使用新值自己立即更新。</a:t>
              </a:r>
              <a:endParaRPr lang="en-US" sz="1100" kern="0">
                <a:solidFill>
                  <a:schemeClr val="bg2">
                    <a:lumMod val="25000"/>
                  </a:schemeClr>
                </a:solidFill>
                <a:latin typeface="+mn-lt"/>
                <a:ea typeface="Microsoft JhengHei UI" panose="020B0604030504040204" pitchFamily="34" charset="-120"/>
                <a:cs typeface="Segoe UI Light" panose="020B0502040204020203" pitchFamily="34" charset="0"/>
              </a:endParaRPr>
            </a:p>
          </xdr:txBody>
        </xdr:sp>
        <xdr:pic>
          <xdr:nvPicPr>
            <xdr:cNvPr id="111" name="圖形 96" descr="燒瓶">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公式下方大括弧">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步驟" descr="輸入 = SUM(D4:D7)，然後再按 Enter。完成後，就會看到結果為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2</xdr:col>
      <xdr:colOff>44450</xdr:colOff>
      <xdr:row>123</xdr:row>
      <xdr:rowOff>96512</xdr:rowOff>
    </xdr:from>
    <xdr:to>
      <xdr:col>5</xdr:col>
      <xdr:colOff>679450</xdr:colOff>
      <xdr:row>133</xdr:row>
      <xdr:rowOff>134808</xdr:rowOff>
    </xdr:to>
    <xdr:grpSp>
      <xdr:nvGrpSpPr>
        <xdr:cNvPr id="88" name="不可不知"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6607175" y="24166187"/>
          <a:ext cx="3559175" cy="1952821"/>
          <a:chOff x="6778625" y="15498438"/>
          <a:chExt cx="3432175" cy="1792612"/>
        </a:xfrm>
      </xdr:grpSpPr>
      <xdr:sp macro="" textlink="">
        <xdr:nvSpPr>
          <xdr:cNvPr id="92" name="步驟"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按兩下此儲存格後，您會發現公式有所不同。具體來說，加總條件為 "&gt;=50"，這表示大於或等於 50。您可以使用其他運算子，例如表示</a:t>
            </a:r>
            <a:r>
              <a:rPr lang="zh-tw" sz="1100" b="0" i="1" kern="1200" baseline="0">
                <a:solidFill>
                  <a:schemeClr val="dk1"/>
                </a:solidFill>
                <a:effectLst/>
                <a:latin typeface="+mn-lt"/>
                <a:ea typeface="Microsoft JhengHei UI" panose="020B0604030504040204" pitchFamily="34" charset="-120"/>
                <a:cs typeface="+mn-cs"/>
              </a:rPr>
              <a:t>小於或等於 50</a:t>
            </a:r>
            <a:r>
              <a:rPr lang="zh-tw" sz="1100" b="0" i="0" kern="1200" baseline="0">
                <a:solidFill>
                  <a:schemeClr val="dk1"/>
                </a:solidFill>
                <a:effectLst/>
                <a:latin typeface="+mn-lt"/>
                <a:ea typeface="Microsoft JhengHei UI" panose="020B0604030504040204" pitchFamily="34" charset="-120"/>
                <a:cs typeface="+mn-cs"/>
              </a:rPr>
              <a:t> 的 "&lt;=50"。"&lt;&gt;50" 表示</a:t>
            </a:r>
            <a:r>
              <a:rPr lang="zh-tw" sz="1100" b="0" i="1" kern="1200" baseline="0">
                <a:solidFill>
                  <a:schemeClr val="dk1"/>
                </a:solidFill>
                <a:effectLst/>
                <a:latin typeface="+mn-lt"/>
                <a:ea typeface="Microsoft JhengHei UI" panose="020B0604030504040204" pitchFamily="34" charset="-120"/>
                <a:cs typeface="+mn-cs"/>
              </a:rPr>
              <a:t>不等於 50</a:t>
            </a:r>
            <a:r>
              <a:rPr lang="zh-tw" sz="1100" b="0" i="0" kern="1200" baseline="0">
                <a:solidFill>
                  <a:schemeClr val="dk1"/>
                </a:solidFill>
                <a:effectLst/>
                <a:latin typeface="+mn-lt"/>
                <a:ea typeface="Microsoft JhengHei UI" panose="020B0604030504040204" pitchFamily="34" charset="-120"/>
                <a:cs typeface="+mn-cs"/>
              </a:rPr>
              <a:t>。 </a:t>
            </a:r>
            <a:endParaRPr lang="en-US" sz="1100">
              <a:effectLst/>
              <a:latin typeface="+mn-lt"/>
              <a:ea typeface="Microsoft JhengHei UI" panose="020B0604030504040204" pitchFamily="34" charset="-120"/>
            </a:endParaRPr>
          </a:p>
        </xdr:txBody>
      </xdr:sp>
      <xdr:pic>
        <xdr:nvPicPr>
          <xdr:cNvPr id="93" name="圖形 147" descr="眼鏡">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手繪多邊形：圖案 93" descr="箭號">
            <a:extLst>
              <a:ext uri="{FF2B5EF4-FFF2-40B4-BE49-F238E27FC236}">
                <a16:creationId xmlns:a16="http://schemas.microsoft.com/office/drawing/2014/main" id="{15104F1B-103C-46F0-AEAD-84159160100C}"/>
              </a:ext>
            </a:extLst>
          </xdr:cNvPr>
          <xdr:cNvSpPr/>
        </xdr:nvSpPr>
        <xdr:spPr>
          <a:xfrm rot="5953034" flipV="1">
            <a:off x="8121176" y="15145222"/>
            <a:ext cx="284005" cy="99043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editAs="absolute">
    <xdr:from>
      <xdr:col>0</xdr:col>
      <xdr:colOff>352424</xdr:colOff>
      <xdr:row>135</xdr:row>
      <xdr:rowOff>57151</xdr:rowOff>
    </xdr:from>
    <xdr:to>
      <xdr:col>1</xdr:col>
      <xdr:colOff>5064124</xdr:colOff>
      <xdr:row>156</xdr:row>
      <xdr:rowOff>170316</xdr:rowOff>
    </xdr:to>
    <xdr:grpSp>
      <xdr:nvGrpSpPr>
        <xdr:cNvPr id="2" name="群組 1">
          <a:extLst>
            <a:ext uri="{FF2B5EF4-FFF2-40B4-BE49-F238E27FC236}">
              <a16:creationId xmlns:a16="http://schemas.microsoft.com/office/drawing/2014/main" id="{F31110CC-1652-426F-8A11-3D24DC9CD3D1}"/>
            </a:ext>
          </a:extLst>
        </xdr:cNvPr>
        <xdr:cNvGrpSpPr/>
      </xdr:nvGrpSpPr>
      <xdr:grpSpPr>
        <a:xfrm>
          <a:off x="352424" y="26422351"/>
          <a:ext cx="5807075" cy="4113665"/>
          <a:chOff x="447674" y="25631776"/>
          <a:chExt cx="5724525" cy="3762374"/>
        </a:xfrm>
      </xdr:grpSpPr>
      <xdr:sp macro="" textlink="">
        <xdr:nvSpPr>
          <xdr:cNvPr id="152" name="矩形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155" name="步驟" descr="更多網路上的資訊&#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Web 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58" name="直線接點 157" descr="裝飾線條">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直線接點​​ 163" descr="裝飾線條">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342900</xdr:colOff>
      <xdr:row>0</xdr:row>
      <xdr:rowOff>352425</xdr:rowOff>
    </xdr:from>
    <xdr:to>
      <xdr:col>1</xdr:col>
      <xdr:colOff>5064125</xdr:colOff>
      <xdr:row>45</xdr:row>
      <xdr:rowOff>95250</xdr:rowOff>
    </xdr:to>
    <xdr:sp macro="" textlink="">
      <xdr:nvSpPr>
        <xdr:cNvPr id="168" name="背景​​" descr="背景​​">
          <a:extLst>
            <a:ext uri="{FF2B5EF4-FFF2-40B4-BE49-F238E27FC236}">
              <a16:creationId xmlns:a16="http://schemas.microsoft.com/office/drawing/2014/main" id="{E6C939DA-20FC-4617-9AC0-0E0FD53C0BBC}"/>
            </a:ext>
          </a:extLst>
        </xdr:cNvPr>
        <xdr:cNvSpPr/>
      </xdr:nvSpPr>
      <xdr:spPr>
        <a:xfrm>
          <a:off x="342900" y="352425"/>
          <a:ext cx="5734050" cy="87915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2</xdr:row>
      <xdr:rowOff>66675</xdr:rowOff>
    </xdr:from>
    <xdr:to>
      <xdr:col>1</xdr:col>
      <xdr:colOff>4783124</xdr:colOff>
      <xdr:row>2</xdr:row>
      <xdr:rowOff>66675</xdr:rowOff>
    </xdr:to>
    <xdr:cxnSp macro="">
      <xdr:nvCxnSpPr>
        <xdr:cNvPr id="169" name="底部線條" descr="裝飾線條">
          <a:extLst>
            <a:ext uri="{FF2B5EF4-FFF2-40B4-BE49-F238E27FC236}">
              <a16:creationId xmlns:a16="http://schemas.microsoft.com/office/drawing/2014/main" id="{A5862B64-F553-4E4F-B5B8-0DE209AA7E25}"/>
            </a:ext>
          </a:extLst>
        </xdr:cNvPr>
        <xdr:cNvCxnSpPr>
          <a:cxnSpLocks/>
        </xdr:cNvCxnSpPr>
      </xdr:nvCxnSpPr>
      <xdr:spPr>
        <a:xfrm>
          <a:off x="547701" y="1019175"/>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4786320</xdr:colOff>
      <xdr:row>1</xdr:row>
      <xdr:rowOff>171517</xdr:rowOff>
    </xdr:to>
    <xdr:sp macro="" textlink="">
      <xdr:nvSpPr>
        <xdr:cNvPr id="170" name="步驟" descr="條件式函數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條件式函數 - SUMIF</a:t>
          </a:r>
        </a:p>
      </xdr:txBody>
    </xdr:sp>
    <xdr:clientData/>
  </xdr:twoCellAnchor>
  <xdr:twoCellAnchor editAs="absolute">
    <xdr:from>
      <xdr:col>0</xdr:col>
      <xdr:colOff>547701</xdr:colOff>
      <xdr:row>41</xdr:row>
      <xdr:rowOff>30692</xdr:rowOff>
    </xdr:from>
    <xdr:to>
      <xdr:col>1</xdr:col>
      <xdr:colOff>4783124</xdr:colOff>
      <xdr:row>41</xdr:row>
      <xdr:rowOff>30692</xdr:rowOff>
    </xdr:to>
    <xdr:cxnSp macro="">
      <xdr:nvCxnSpPr>
        <xdr:cNvPr id="171" name="底部線條" descr="裝飾線條">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571500</xdr:colOff>
      <xdr:row>2</xdr:row>
      <xdr:rowOff>57150</xdr:rowOff>
    </xdr:from>
    <xdr:to>
      <xdr:col>1</xdr:col>
      <xdr:colOff>4859613</xdr:colOff>
      <xdr:row>6</xdr:row>
      <xdr:rowOff>19050</xdr:rowOff>
    </xdr:to>
    <xdr:sp macro="" textlink="">
      <xdr:nvSpPr>
        <xdr:cNvPr id="172" name="新增數值簡介" descr="條件式函數可讓您根據指定的條件或指定的準則，取得加總、平均值、計數，或取得某個範圍的最小值和最大值。例如，清單內的所有水果之中有幾顆蘋果？或者，有幾顆橘子的類型是佛羅里達？&#10;">
          <a:extLst>
            <a:ext uri="{FF2B5EF4-FFF2-40B4-BE49-F238E27FC236}">
              <a16:creationId xmlns:a16="http://schemas.microsoft.com/office/drawing/2014/main" id="{9A24D79D-F087-4F19-ACAE-4CAC391FF978}"/>
            </a:ext>
          </a:extLst>
        </xdr:cNvPr>
        <xdr:cNvSpPr txBox="1"/>
      </xdr:nvSpPr>
      <xdr:spPr>
        <a:xfrm>
          <a:off x="571500" y="1009650"/>
          <a:ext cx="5300938"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kern="12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條件式函數可讓您根據指定的條件或指定的準則，取得加總、平均值、計數，或取得某個範圍的最小值或最大值。例如</a:t>
          </a:r>
          <a:r>
            <a:rPr lang="zh-tw" sz="1100" kern="12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，清單內的所有水果之中有幾顆蘋果？或者，有多少佛羅里達類型的橘子？</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xdr:twoCellAnchor>
  <xdr:twoCellAnchor editAs="absolute">
    <xdr:from>
      <xdr:col>0</xdr:col>
      <xdr:colOff>523788</xdr:colOff>
      <xdr:row>6</xdr:row>
      <xdr:rowOff>57150</xdr:rowOff>
    </xdr:from>
    <xdr:to>
      <xdr:col>1</xdr:col>
      <xdr:colOff>4750131</xdr:colOff>
      <xdr:row>9</xdr:row>
      <xdr:rowOff>152400</xdr:rowOff>
    </xdr:to>
    <xdr:grpSp>
      <xdr:nvGrpSpPr>
        <xdr:cNvPr id="5" name="群組 4">
          <a:extLst>
            <a:ext uri="{FF2B5EF4-FFF2-40B4-BE49-F238E27FC236}">
              <a16:creationId xmlns:a16="http://schemas.microsoft.com/office/drawing/2014/main" id="{8A59968F-9E53-4DA4-A0EC-0D567AB08F0D}"/>
            </a:ext>
          </a:extLst>
        </xdr:cNvPr>
        <xdr:cNvGrpSpPr/>
      </xdr:nvGrpSpPr>
      <xdr:grpSpPr>
        <a:xfrm>
          <a:off x="523788" y="1771650"/>
          <a:ext cx="5321718" cy="666750"/>
          <a:chOff x="571500" y="1771650"/>
          <a:chExt cx="5229626" cy="666750"/>
        </a:xfrm>
      </xdr:grpSpPr>
      <xdr:sp macro="" textlink="">
        <xdr:nvSpPr>
          <xdr:cNvPr id="174" name="文字_步驟" descr="SUMIF 可讓您根據在另一個範圍中尋找的特定準則，執行某一個範圍的加總，例如您有幾顆蘋果。選取儲存格 D17，然後輸入 =SUMIF(C3:C14,C17,D3:D14)。SUMIF 的結構如下：&#10;">
            <a:extLst>
              <a:ext uri="{FF2B5EF4-FFF2-40B4-BE49-F238E27FC236}">
                <a16:creationId xmlns:a16="http://schemas.microsoft.com/office/drawing/2014/main" id="{2D2520E8-CC78-428A-A2A1-03FB76DC9AF2}"/>
              </a:ext>
            </a:extLst>
          </xdr:cNvPr>
          <xdr:cNvSpPr txBox="1"/>
        </xdr:nvSpPr>
        <xdr:spPr>
          <a:xfrm>
            <a:off x="991382" y="1813608"/>
            <a:ext cx="4809744" cy="6247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SUMIF</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可讓您根據在另一個範圍中尋找的特定準則，在一個範圍執行加總，例如您有幾顆蘋果。選取儲存格 D17，然後輸入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=SUMIF(C3:C14,C17,D3:D14)</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SUMIF</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的結構如下：</a:t>
            </a:r>
          </a:p>
        </xdr:txBody>
      </xdr:sp>
      <xdr:sp macro="" textlink="">
        <xdr:nvSpPr>
          <xdr:cNvPr id="175" name="圖案_步驟"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clientData/>
  </xdr:twoCellAnchor>
  <xdr:twoCellAnchor editAs="absolute">
    <xdr:from>
      <xdr:col>1</xdr:col>
      <xdr:colOff>3578226</xdr:colOff>
      <xdr:row>41</xdr:row>
      <xdr:rowOff>183091</xdr:rowOff>
    </xdr:from>
    <xdr:to>
      <xdr:col>1</xdr:col>
      <xdr:colOff>4722429</xdr:colOff>
      <xdr:row>43</xdr:row>
      <xdr:rowOff>178740</xdr:rowOff>
    </xdr:to>
    <xdr:sp macro="" textlink="">
      <xdr:nvSpPr>
        <xdr:cNvPr id="176" name="[下一個] 按鈕" descr="前往下一個工作表">
          <a:hlinkClick xmlns:r="http://schemas.openxmlformats.org/officeDocument/2006/relationships" r:id="rId3" tooltip="按一下這裡前往下一個工作表"/>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xdr:twoCellAnchor>
  <xdr:twoCellAnchor editAs="absolute">
    <xdr:from>
      <xdr:col>0</xdr:col>
      <xdr:colOff>652334</xdr:colOff>
      <xdr:row>153</xdr:row>
      <xdr:rowOff>30126</xdr:rowOff>
    </xdr:from>
    <xdr:to>
      <xdr:col>1</xdr:col>
      <xdr:colOff>2397732</xdr:colOff>
      <xdr:row>156</xdr:row>
      <xdr:rowOff>33864</xdr:rowOff>
    </xdr:to>
    <xdr:sp macro="" textlink="">
      <xdr:nvSpPr>
        <xdr:cNvPr id="177" name="[下一步] 按鈕" descr="回到頁首，附有移至儲存格 A1 的超連結">
          <a:hlinkClick xmlns:r="http://schemas.openxmlformats.org/officeDocument/2006/relationships" r:id="rId4" tooltip="回到頁首"/>
          <a:extLst>
            <a:ext uri="{FF2B5EF4-FFF2-40B4-BE49-F238E27FC236}">
              <a16:creationId xmlns:a16="http://schemas.microsoft.com/office/drawing/2014/main" id="{F1F17ADA-3374-4672-8F57-B7354AE50F61}"/>
            </a:ext>
          </a:extLst>
        </xdr:cNvPr>
        <xdr:cNvSpPr/>
      </xdr:nvSpPr>
      <xdr:spPr>
        <a:xfrm>
          <a:off x="652334" y="2887182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lientData/>
  </xdr:twoCellAnchor>
  <xdr:twoCellAnchor editAs="absolute">
    <xdr:from>
      <xdr:col>1</xdr:col>
      <xdr:colOff>3710233</xdr:colOff>
      <xdr:row>154</xdr:row>
      <xdr:rowOff>41355</xdr:rowOff>
    </xdr:from>
    <xdr:to>
      <xdr:col>1</xdr:col>
      <xdr:colOff>4862108</xdr:colOff>
      <xdr:row>156</xdr:row>
      <xdr:rowOff>36512</xdr:rowOff>
    </xdr:to>
    <xdr:sp macro="" textlink="">
      <xdr:nvSpPr>
        <xdr:cNvPr id="178" name="[下一步] 按鈕" descr="[下一個步驟] 按鈕，附有移至下一個工作表的超連結">
          <a:hlinkClick xmlns:r="http://schemas.openxmlformats.org/officeDocument/2006/relationships" r:id="rId5" tooltip="按一下這裡前往下一個工作表"/>
          <a:extLst>
            <a:ext uri="{FF2B5EF4-FFF2-40B4-BE49-F238E27FC236}">
              <a16:creationId xmlns:a16="http://schemas.microsoft.com/office/drawing/2014/main" id="{21885DC0-F099-46D4-A1CF-17E11C390036}"/>
            </a:ext>
          </a:extLst>
        </xdr:cNvPr>
        <xdr:cNvSpPr/>
      </xdr:nvSpPr>
      <xdr:spPr>
        <a:xfrm>
          <a:off x="4723058" y="290640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clientData/>
  </xdr:twoCellAnchor>
  <xdr:twoCellAnchor editAs="absolute">
    <xdr:from>
      <xdr:col>1</xdr:col>
      <xdr:colOff>2710340</xdr:colOff>
      <xdr:row>149</xdr:row>
      <xdr:rowOff>47358</xdr:rowOff>
    </xdr:from>
    <xdr:to>
      <xdr:col>1</xdr:col>
      <xdr:colOff>4578147</xdr:colOff>
      <xdr:row>150</xdr:row>
      <xdr:rowOff>186266</xdr:rowOff>
    </xdr:to>
    <xdr:sp macro="" textlink="">
      <xdr:nvSpPr>
        <xdr:cNvPr id="179" name="步驟" descr="免費的 Excel 線上訓練，附有移至網路的超連結&#10;">
          <a:hlinkClick xmlns:r="http://schemas.openxmlformats.org/officeDocument/2006/relationships" r:id="rId6" tooltip="選取以了解網路上免費的 Excel 訓練"/>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免費的 Excel 線上訓練</a:t>
          </a:r>
        </a:p>
      </xdr:txBody>
    </xdr:sp>
    <xdr:clientData/>
  </xdr:twoCellAnchor>
  <xdr:twoCellAnchor editAs="absolute">
    <xdr:from>
      <xdr:col>1</xdr:col>
      <xdr:colOff>2245156</xdr:colOff>
      <xdr:row>148</xdr:row>
      <xdr:rowOff>165621</xdr:rowOff>
    </xdr:from>
    <xdr:to>
      <xdr:col>1</xdr:col>
      <xdr:colOff>2739888</xdr:colOff>
      <xdr:row>151</xdr:row>
      <xdr:rowOff>68003</xdr:rowOff>
    </xdr:to>
    <xdr:pic>
      <xdr:nvPicPr>
        <xdr:cNvPr id="180" name="圖形 22" descr="箭號">
          <a:hlinkClick xmlns:r="http://schemas.openxmlformats.org/officeDocument/2006/relationships" r:id="rId6" tooltip="選取以從網路深入了解"/>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57981" y="28092921"/>
          <a:ext cx="494732" cy="454832"/>
        </a:xfrm>
        <a:prstGeom prst="rect">
          <a:avLst/>
        </a:prstGeom>
      </xdr:spPr>
    </xdr:pic>
    <xdr:clientData/>
  </xdr:twoCellAnchor>
  <xdr:twoCellAnchor editAs="absolute">
    <xdr:from>
      <xdr:col>1</xdr:col>
      <xdr:colOff>2710341</xdr:colOff>
      <xdr:row>146</xdr:row>
      <xdr:rowOff>152005</xdr:rowOff>
    </xdr:from>
    <xdr:to>
      <xdr:col>1</xdr:col>
      <xdr:colOff>4980205</xdr:colOff>
      <xdr:row>148</xdr:row>
      <xdr:rowOff>97516</xdr:rowOff>
    </xdr:to>
    <xdr:sp macro="" textlink="">
      <xdr:nvSpPr>
        <xdr:cNvPr id="181" name="步驟" descr="深入了解 MAXIFS 函數，附有移至網路的超連結&#10;&#10;">
          <a:hlinkClick xmlns:r="http://schemas.openxmlformats.org/officeDocument/2006/relationships" r:id="rId9" tooltip="選取以在網路上深入了解 MAXIFS 函數"/>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MAXIFS</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clientData/>
  </xdr:twoCellAnchor>
  <xdr:twoCellAnchor editAs="absolute">
    <xdr:from>
      <xdr:col>1</xdr:col>
      <xdr:colOff>2245156</xdr:colOff>
      <xdr:row>146</xdr:row>
      <xdr:rowOff>76871</xdr:rowOff>
    </xdr:from>
    <xdr:to>
      <xdr:col>1</xdr:col>
      <xdr:colOff>2739888</xdr:colOff>
      <xdr:row>148</xdr:row>
      <xdr:rowOff>172650</xdr:rowOff>
    </xdr:to>
    <xdr:pic>
      <xdr:nvPicPr>
        <xdr:cNvPr id="182" name="圖形 22" descr="箭號">
          <a:hlinkClick xmlns:r="http://schemas.openxmlformats.org/officeDocument/2006/relationships" r:id="rId9" tooltip="選取以從網路深入了解"/>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57981" y="27651746"/>
          <a:ext cx="494732" cy="448204"/>
        </a:xfrm>
        <a:prstGeom prst="rect">
          <a:avLst/>
        </a:prstGeom>
      </xdr:spPr>
    </xdr:pic>
    <xdr:clientData/>
  </xdr:twoCellAnchor>
  <xdr:twoCellAnchor editAs="absolute">
    <xdr:from>
      <xdr:col>1</xdr:col>
      <xdr:colOff>2719866</xdr:colOff>
      <xdr:row>144</xdr:row>
      <xdr:rowOff>71042</xdr:rowOff>
    </xdr:from>
    <xdr:to>
      <xdr:col>1</xdr:col>
      <xdr:colOff>5200332</xdr:colOff>
      <xdr:row>146</xdr:row>
      <xdr:rowOff>152399</xdr:rowOff>
    </xdr:to>
    <xdr:sp macro="" textlink="">
      <xdr:nvSpPr>
        <xdr:cNvPr id="183" name="步驟" descr="深入了解 AVERAGEIFS 函數，附有移至網路的超連結&#10;&#10;">
          <a:hlinkClick xmlns:r="http://schemas.openxmlformats.org/officeDocument/2006/relationships" r:id="rId10" tooltip="選取以在網路上深入了解 AVERAGEIFS 函數"/>
          <a:extLst>
            <a:ext uri="{FF2B5EF4-FFF2-40B4-BE49-F238E27FC236}">
              <a16:creationId xmlns:a16="http://schemas.microsoft.com/office/drawing/2014/main" id="{5979CD87-1D2E-4D32-BF44-CE7F4285B790}"/>
            </a:ext>
          </a:extLst>
        </xdr:cNvPr>
        <xdr:cNvSpPr txBox="1"/>
      </xdr:nvSpPr>
      <xdr:spPr>
        <a:xfrm>
          <a:off x="3815241" y="28150742"/>
          <a:ext cx="2480466" cy="462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AVERAGEIFS</a:t>
          </a:r>
          <a:r>
            <a:rPr lang="en-US" altLang="zh-TW" sz="1100" b="0" u="sng"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函數</a:t>
          </a:r>
        </a:p>
      </xdr:txBody>
    </xdr:sp>
    <xdr:clientData/>
  </xdr:twoCellAnchor>
  <xdr:twoCellAnchor editAs="absolute">
    <xdr:from>
      <xdr:col>1</xdr:col>
      <xdr:colOff>2245156</xdr:colOff>
      <xdr:row>144</xdr:row>
      <xdr:rowOff>5434</xdr:rowOff>
    </xdr:from>
    <xdr:to>
      <xdr:col>1</xdr:col>
      <xdr:colOff>2739888</xdr:colOff>
      <xdr:row>146</xdr:row>
      <xdr:rowOff>91688</xdr:rowOff>
    </xdr:to>
    <xdr:pic>
      <xdr:nvPicPr>
        <xdr:cNvPr id="184" name="圖形 22" descr="箭號">
          <a:hlinkClick xmlns:r="http://schemas.openxmlformats.org/officeDocument/2006/relationships" r:id="rId10" tooltip="選取以從網路深入了解"/>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57981" y="27218359"/>
          <a:ext cx="494732" cy="448204"/>
        </a:xfrm>
        <a:prstGeom prst="rect">
          <a:avLst/>
        </a:prstGeom>
      </xdr:spPr>
    </xdr:pic>
    <xdr:clientData/>
  </xdr:twoCellAnchor>
  <xdr:twoCellAnchor editAs="absolute">
    <xdr:from>
      <xdr:col>0</xdr:col>
      <xdr:colOff>992666</xdr:colOff>
      <xdr:row>144</xdr:row>
      <xdr:rowOff>71043</xdr:rowOff>
    </xdr:from>
    <xdr:to>
      <xdr:col>1</xdr:col>
      <xdr:colOff>2294585</xdr:colOff>
      <xdr:row>146</xdr:row>
      <xdr:rowOff>26079</xdr:rowOff>
    </xdr:to>
    <xdr:sp macro="" textlink="">
      <xdr:nvSpPr>
        <xdr:cNvPr id="185" name="步驟" descr="深入了解 AVERAGEIF 函數，附有移至網路的超連結&#10;&#10;">
          <a:hlinkClick xmlns:r="http://schemas.openxmlformats.org/officeDocument/2006/relationships" r:id="rId11" tooltip="選取以在網路上深入了解 AVERAGEIF 函數"/>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AVERAGEIF</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clientData/>
  </xdr:twoCellAnchor>
  <xdr:twoCellAnchor editAs="absolute">
    <xdr:from>
      <xdr:col>0</xdr:col>
      <xdr:colOff>486206</xdr:colOff>
      <xdr:row>144</xdr:row>
      <xdr:rowOff>3052</xdr:rowOff>
    </xdr:from>
    <xdr:to>
      <xdr:col>0</xdr:col>
      <xdr:colOff>1022213</xdr:colOff>
      <xdr:row>146</xdr:row>
      <xdr:rowOff>89306</xdr:rowOff>
    </xdr:to>
    <xdr:pic>
      <xdr:nvPicPr>
        <xdr:cNvPr id="186" name="圖形 22" descr="箭號">
          <a:hlinkClick xmlns:r="http://schemas.openxmlformats.org/officeDocument/2006/relationships" r:id="rId11" tooltip="選取以從網路深入了解"/>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6206" y="27215977"/>
          <a:ext cx="494732" cy="448204"/>
        </a:xfrm>
        <a:prstGeom prst="rect">
          <a:avLst/>
        </a:prstGeom>
      </xdr:spPr>
    </xdr:pic>
    <xdr:clientData/>
  </xdr:twoCellAnchor>
  <xdr:twoCellAnchor editAs="absolute">
    <xdr:from>
      <xdr:col>0</xdr:col>
      <xdr:colOff>992665</xdr:colOff>
      <xdr:row>146</xdr:row>
      <xdr:rowOff>152005</xdr:rowOff>
    </xdr:from>
    <xdr:to>
      <xdr:col>1</xdr:col>
      <xdr:colOff>2093556</xdr:colOff>
      <xdr:row>148</xdr:row>
      <xdr:rowOff>97516</xdr:rowOff>
    </xdr:to>
    <xdr:sp macro="" textlink="">
      <xdr:nvSpPr>
        <xdr:cNvPr id="187" name="步驟" descr="深入了解 MINIFS 函數，附有移至網路的超連結&#10;&#10;">
          <a:hlinkClick xmlns:r="http://schemas.openxmlformats.org/officeDocument/2006/relationships" r:id="rId12" tooltip="選取以在網路上深入了解 MINIFS 函數"/>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MINIFS</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clientData/>
  </xdr:twoCellAnchor>
  <xdr:twoCellAnchor editAs="absolute">
    <xdr:from>
      <xdr:col>0</xdr:col>
      <xdr:colOff>486206</xdr:colOff>
      <xdr:row>146</xdr:row>
      <xdr:rowOff>68536</xdr:rowOff>
    </xdr:from>
    <xdr:to>
      <xdr:col>0</xdr:col>
      <xdr:colOff>1022213</xdr:colOff>
      <xdr:row>148</xdr:row>
      <xdr:rowOff>164315</xdr:rowOff>
    </xdr:to>
    <xdr:pic>
      <xdr:nvPicPr>
        <xdr:cNvPr id="188" name="圖形 22" descr="箭號">
          <a:hlinkClick xmlns:r="http://schemas.openxmlformats.org/officeDocument/2006/relationships" r:id="rId12" tooltip="選取以從網路深入了解"/>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6206" y="27643411"/>
          <a:ext cx="494732" cy="448204"/>
        </a:xfrm>
        <a:prstGeom prst="rect">
          <a:avLst/>
        </a:prstGeom>
      </xdr:spPr>
    </xdr:pic>
    <xdr:clientData/>
  </xdr:twoCellAnchor>
  <xdr:twoCellAnchor editAs="absolute">
    <xdr:from>
      <xdr:col>1</xdr:col>
      <xdr:colOff>2710341</xdr:colOff>
      <xdr:row>141</xdr:row>
      <xdr:rowOff>180579</xdr:rowOff>
    </xdr:from>
    <xdr:to>
      <xdr:col>1</xdr:col>
      <xdr:colOff>5047215</xdr:colOff>
      <xdr:row>144</xdr:row>
      <xdr:rowOff>85724</xdr:rowOff>
    </xdr:to>
    <xdr:sp macro="" textlink="">
      <xdr:nvSpPr>
        <xdr:cNvPr id="189" name="步驟" descr="深入了解 COUNTIFS 函數，附有移至網路的超連結&#10;&#10;">
          <a:hlinkClick xmlns:r="http://schemas.openxmlformats.org/officeDocument/2006/relationships" r:id="rId13" tooltip="選取以在網路上深入了解 COUNTIFS 函數"/>
          <a:extLst>
            <a:ext uri="{FF2B5EF4-FFF2-40B4-BE49-F238E27FC236}">
              <a16:creationId xmlns:a16="http://schemas.microsoft.com/office/drawing/2014/main" id="{EADD320D-BECB-4510-A526-402BC7B8CE52}"/>
            </a:ext>
          </a:extLst>
        </xdr:cNvPr>
        <xdr:cNvSpPr txBox="1"/>
      </xdr:nvSpPr>
      <xdr:spPr>
        <a:xfrm>
          <a:off x="3805716" y="27688779"/>
          <a:ext cx="2336874" cy="476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COUNTIFS</a:t>
          </a:r>
          <a:r>
            <a:rPr lang="en-US" alt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函數</a:t>
          </a:r>
        </a:p>
      </xdr:txBody>
    </xdr:sp>
    <xdr:clientData/>
  </xdr:twoCellAnchor>
  <xdr:twoCellAnchor editAs="absolute">
    <xdr:from>
      <xdr:col>1</xdr:col>
      <xdr:colOff>2245156</xdr:colOff>
      <xdr:row>141</xdr:row>
      <xdr:rowOff>134021</xdr:rowOff>
    </xdr:from>
    <xdr:to>
      <xdr:col>1</xdr:col>
      <xdr:colOff>2739888</xdr:colOff>
      <xdr:row>144</xdr:row>
      <xdr:rowOff>29775</xdr:rowOff>
    </xdr:to>
    <xdr:pic>
      <xdr:nvPicPr>
        <xdr:cNvPr id="190" name="圖形 22" descr="箭號">
          <a:hlinkClick xmlns:r="http://schemas.openxmlformats.org/officeDocument/2006/relationships" r:id="rId13" tooltip="選取以從網路深入了解"/>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57981" y="26794496"/>
          <a:ext cx="494732" cy="448204"/>
        </a:xfrm>
        <a:prstGeom prst="rect">
          <a:avLst/>
        </a:prstGeom>
      </xdr:spPr>
    </xdr:pic>
    <xdr:clientData/>
  </xdr:twoCellAnchor>
  <xdr:twoCellAnchor editAs="absolute">
    <xdr:from>
      <xdr:col>1</xdr:col>
      <xdr:colOff>2710341</xdr:colOff>
      <xdr:row>139</xdr:row>
      <xdr:rowOff>128193</xdr:rowOff>
    </xdr:from>
    <xdr:to>
      <xdr:col>1</xdr:col>
      <xdr:colOff>4894050</xdr:colOff>
      <xdr:row>141</xdr:row>
      <xdr:rowOff>67354</xdr:rowOff>
    </xdr:to>
    <xdr:sp macro="" textlink="">
      <xdr:nvSpPr>
        <xdr:cNvPr id="191" name="步驟" descr="深入了解 SUMIFS 函數，附有移至網路的超連結&#10;&#10;">
          <a:hlinkClick xmlns:r="http://schemas.openxmlformats.org/officeDocument/2006/relationships" r:id="rId14" tooltip="選取以在網路上深入了解 SUMIFS 函數"/>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SUMIFS</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clientData/>
  </xdr:twoCellAnchor>
  <xdr:twoCellAnchor editAs="absolute">
    <xdr:from>
      <xdr:col>1</xdr:col>
      <xdr:colOff>2245156</xdr:colOff>
      <xdr:row>139</xdr:row>
      <xdr:rowOff>68934</xdr:rowOff>
    </xdr:from>
    <xdr:to>
      <xdr:col>1</xdr:col>
      <xdr:colOff>2739888</xdr:colOff>
      <xdr:row>141</xdr:row>
      <xdr:rowOff>148838</xdr:rowOff>
    </xdr:to>
    <xdr:pic>
      <xdr:nvPicPr>
        <xdr:cNvPr id="192" name="圖形 22" descr="箭號">
          <a:hlinkClick xmlns:r="http://schemas.openxmlformats.org/officeDocument/2006/relationships" r:id="rId14" tooltip="選取以從網路深入了解"/>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257981" y="26361109"/>
          <a:ext cx="494732" cy="448204"/>
        </a:xfrm>
        <a:prstGeom prst="rect">
          <a:avLst/>
        </a:prstGeom>
      </xdr:spPr>
    </xdr:pic>
    <xdr:clientData/>
  </xdr:twoCellAnchor>
  <xdr:twoCellAnchor editAs="absolute">
    <xdr:from>
      <xdr:col>0</xdr:col>
      <xdr:colOff>992666</xdr:colOff>
      <xdr:row>139</xdr:row>
      <xdr:rowOff>128193</xdr:rowOff>
    </xdr:from>
    <xdr:to>
      <xdr:col>1</xdr:col>
      <xdr:colOff>1978684</xdr:colOff>
      <xdr:row>141</xdr:row>
      <xdr:rowOff>67354</xdr:rowOff>
    </xdr:to>
    <xdr:sp macro="" textlink="">
      <xdr:nvSpPr>
        <xdr:cNvPr id="193" name="步驟" descr="深入了解 SUMIF 函數，附有移至網路的超連結&#10;&#10;">
          <a:hlinkClick xmlns:r="http://schemas.openxmlformats.org/officeDocument/2006/relationships" r:id="rId15" tooltip="選取以在網路上深入了解 SUMIF 函數"/>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SUMIF</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clientData/>
  </xdr:twoCellAnchor>
  <xdr:twoCellAnchor editAs="absolute">
    <xdr:from>
      <xdr:col>0</xdr:col>
      <xdr:colOff>486206</xdr:colOff>
      <xdr:row>139</xdr:row>
      <xdr:rowOff>68934</xdr:rowOff>
    </xdr:from>
    <xdr:to>
      <xdr:col>0</xdr:col>
      <xdr:colOff>1022213</xdr:colOff>
      <xdr:row>141</xdr:row>
      <xdr:rowOff>148838</xdr:rowOff>
    </xdr:to>
    <xdr:pic>
      <xdr:nvPicPr>
        <xdr:cNvPr id="194" name="圖形 22" descr="箭號">
          <a:hlinkClick xmlns:r="http://schemas.openxmlformats.org/officeDocument/2006/relationships" r:id="rId15" tooltip="選取以從網路深入了解"/>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6206" y="26361109"/>
          <a:ext cx="494732" cy="448204"/>
        </a:xfrm>
        <a:prstGeom prst="rect">
          <a:avLst/>
        </a:prstGeom>
      </xdr:spPr>
    </xdr:pic>
    <xdr:clientData/>
  </xdr:twoCellAnchor>
  <xdr:twoCellAnchor editAs="absolute">
    <xdr:from>
      <xdr:col>0</xdr:col>
      <xdr:colOff>992666</xdr:colOff>
      <xdr:row>142</xdr:row>
      <xdr:rowOff>9130</xdr:rowOff>
    </xdr:from>
    <xdr:to>
      <xdr:col>1</xdr:col>
      <xdr:colOff>2150994</xdr:colOff>
      <xdr:row>143</xdr:row>
      <xdr:rowOff>154666</xdr:rowOff>
    </xdr:to>
    <xdr:sp macro="" textlink="">
      <xdr:nvSpPr>
        <xdr:cNvPr id="195" name="步驟" descr="深入了解 COUNTIF 函數，附有移至網路的超連結&#10;&#10;">
          <a:hlinkClick xmlns:r="http://schemas.openxmlformats.org/officeDocument/2006/relationships" r:id="rId16" tooltip="選取以在網路上深入了解 COUNTIF 函數"/>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a:t>
          </a:r>
          <a:r>
            <a:rPr lang="zh-tw" sz="1100" b="1"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COUNTIF</a:t>
          </a: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a:t>
          </a:r>
        </a:p>
      </xdr:txBody>
    </xdr:sp>
    <xdr:clientData/>
  </xdr:twoCellAnchor>
  <xdr:twoCellAnchor editAs="absolute">
    <xdr:from>
      <xdr:col>0</xdr:col>
      <xdr:colOff>486206</xdr:colOff>
      <xdr:row>141</xdr:row>
      <xdr:rowOff>128068</xdr:rowOff>
    </xdr:from>
    <xdr:to>
      <xdr:col>0</xdr:col>
      <xdr:colOff>1022213</xdr:colOff>
      <xdr:row>144</xdr:row>
      <xdr:rowOff>23822</xdr:rowOff>
    </xdr:to>
    <xdr:pic>
      <xdr:nvPicPr>
        <xdr:cNvPr id="196" name="圖形 22" descr="箭號">
          <a:hlinkClick xmlns:r="http://schemas.openxmlformats.org/officeDocument/2006/relationships" r:id="rId16" tooltip="選取以從網路深入了解"/>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6206" y="26788543"/>
          <a:ext cx="494732" cy="448204"/>
        </a:xfrm>
        <a:prstGeom prst="rect">
          <a:avLst/>
        </a:prstGeom>
      </xdr:spPr>
    </xdr:pic>
    <xdr:clientData/>
  </xdr:twoCellAnchor>
  <xdr:twoCellAnchor editAs="absolute">
    <xdr:from>
      <xdr:col>0</xdr:col>
      <xdr:colOff>992666</xdr:colOff>
      <xdr:row>149</xdr:row>
      <xdr:rowOff>18655</xdr:rowOff>
    </xdr:from>
    <xdr:to>
      <xdr:col>1</xdr:col>
      <xdr:colOff>1838742</xdr:colOff>
      <xdr:row>150</xdr:row>
      <xdr:rowOff>154666</xdr:rowOff>
    </xdr:to>
    <xdr:sp macro="" textlink="">
      <xdr:nvSpPr>
        <xdr:cNvPr id="197" name="步驟" descr="建立下拉式清單。附有移至網路的超連結&#10;&#10;">
          <a:hlinkClick xmlns:r="http://schemas.openxmlformats.org/officeDocument/2006/relationships" r:id="rId17" tooltip="選取以在網路上深入了解如何建立下拉式清單"/>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建立下拉式清單</a:t>
          </a:r>
        </a:p>
      </xdr:txBody>
    </xdr:sp>
    <xdr:clientData/>
  </xdr:twoCellAnchor>
  <xdr:twoCellAnchor editAs="absolute">
    <xdr:from>
      <xdr:col>0</xdr:col>
      <xdr:colOff>486206</xdr:colOff>
      <xdr:row>148</xdr:row>
      <xdr:rowOff>134021</xdr:rowOff>
    </xdr:from>
    <xdr:to>
      <xdr:col>0</xdr:col>
      <xdr:colOff>1022213</xdr:colOff>
      <xdr:row>151</xdr:row>
      <xdr:rowOff>39300</xdr:rowOff>
    </xdr:to>
    <xdr:pic>
      <xdr:nvPicPr>
        <xdr:cNvPr id="198" name="圖形 22" descr="箭號">
          <a:hlinkClick xmlns:r="http://schemas.openxmlformats.org/officeDocument/2006/relationships" r:id="rId17" tooltip="選取以從網路深入了解"/>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86206" y="28070846"/>
          <a:ext cx="494732" cy="448204"/>
        </a:xfrm>
        <a:prstGeom prst="rect">
          <a:avLst/>
        </a:prstGeom>
      </xdr:spPr>
    </xdr:pic>
    <xdr:clientData/>
  </xdr:twoCellAnchor>
  <xdr:twoCellAnchor editAs="absolute">
    <xdr:from>
      <xdr:col>0</xdr:col>
      <xdr:colOff>523788</xdr:colOff>
      <xdr:row>21</xdr:row>
      <xdr:rowOff>38100</xdr:rowOff>
    </xdr:from>
    <xdr:to>
      <xdr:col>1</xdr:col>
      <xdr:colOff>4750131</xdr:colOff>
      <xdr:row>25</xdr:row>
      <xdr:rowOff>114300</xdr:rowOff>
    </xdr:to>
    <xdr:grpSp>
      <xdr:nvGrpSpPr>
        <xdr:cNvPr id="4" name="群組 3">
          <a:extLst>
            <a:ext uri="{FF2B5EF4-FFF2-40B4-BE49-F238E27FC236}">
              <a16:creationId xmlns:a16="http://schemas.microsoft.com/office/drawing/2014/main" id="{5F83CBBA-90B0-4EB0-9AB8-57CF000EADA5}"/>
            </a:ext>
          </a:extLst>
        </xdr:cNvPr>
        <xdr:cNvGrpSpPr/>
      </xdr:nvGrpSpPr>
      <xdr:grpSpPr>
        <a:xfrm>
          <a:off x="523788" y="4610100"/>
          <a:ext cx="5321718" cy="838200"/>
          <a:chOff x="571500" y="4610100"/>
          <a:chExt cx="5229626" cy="838200"/>
        </a:xfrm>
      </xdr:grpSpPr>
      <xdr:sp macro="" textlink="">
        <xdr:nvSpPr>
          <xdr:cNvPr id="200" name="文字_步驟" descr="SUMIFS 與 SUMIF 相同，但 SUMIFS 可讓您使用多個準則。因此，在此範例中，您可以同時尋找「水果」和「類型」，而不只有「水果」。選取儲存格 H17，然後輸入 =SUMIFS(H3:H14,F3:F14,F17,G3:G14,G17)。SUMIFS 的結構如下：&#10;&#10;&#10;">
            <a:extLst>
              <a:ext uri="{FF2B5EF4-FFF2-40B4-BE49-F238E27FC236}">
                <a16:creationId xmlns:a16="http://schemas.microsoft.com/office/drawing/2014/main" id="{4F912E6F-F743-47DF-85DF-3039C56B3212}"/>
              </a:ext>
            </a:extLst>
          </xdr:cNvPr>
          <xdr:cNvSpPr txBox="1"/>
        </xdr:nvSpPr>
        <xdr:spPr>
          <a:xfrm>
            <a:off x="991382" y="4652058"/>
            <a:ext cx="4809744" cy="7962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SUMIFS</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與 SUMIF 相同，但它可讓您使用多個準則。因此，在此範例中，您可以尋找「水果」和「類型」，而不只是「水果」。選取儲存格 H17，然後輸入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=SUMIFS(H3:H14,F3:F14,F17,G3:G14,G17)</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SUMIFS</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的結構如下：</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201" name="圖案_步驟"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clientData/>
  </xdr:twoCellAnchor>
  <xdr:twoCellAnchor editAs="absolute">
    <xdr:from>
      <xdr:col>0</xdr:col>
      <xdr:colOff>361949</xdr:colOff>
      <xdr:row>114</xdr:row>
      <xdr:rowOff>142875</xdr:rowOff>
    </xdr:from>
    <xdr:to>
      <xdr:col>1</xdr:col>
      <xdr:colOff>5073649</xdr:colOff>
      <xdr:row>134</xdr:row>
      <xdr:rowOff>148787</xdr:rowOff>
    </xdr:to>
    <xdr:grpSp>
      <xdr:nvGrpSpPr>
        <xdr:cNvPr id="202" name="深入了解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xdr:nvGrpSpPr>
      <xdr:grpSpPr>
        <a:xfrm>
          <a:off x="361949" y="22469475"/>
          <a:ext cx="5807075" cy="3854012"/>
          <a:chOff x="347872" y="13364013"/>
          <a:chExt cx="5695950" cy="3673037"/>
        </a:xfrm>
      </xdr:grpSpPr>
      <xdr:sp macro="" textlink="">
        <xdr:nvSpPr>
          <xdr:cNvPr id="203" name="矩形 202" descr="背景​​">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cxnSp macro="">
        <xdr:nvCxnSpPr>
          <xdr:cNvPr id="204" name="直線接點 203" descr="裝飾線條">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直線接點 204" descr="裝飾線條">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步驟" descr="具有值引數的 SUMIF&#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使用值引數的 SUMIF</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207" name="步驟" descr="以下範例使用大於的 SUMIF 函數尋找大於指定數量的所有值：&#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以下</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是使用大於 (</a:t>
            </a:r>
            <a:r>
              <a:rPr lang="zh-tw" sz="1100" b="1"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&gt;</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的 </a:t>
            </a:r>
            <a:r>
              <a:rPr lang="zh-tw" sz="1100" b="1"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SUMIF</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函數範例，尋找大於指定數量的所有值：</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208" name="步驟" descr="附註：如果您撰寫了大量 SUMIF 公式，建議您使用樞紐分析表。如需詳細資訊，請按一下以在網路上查看樞紐分析表文章&#10;">
            <a:hlinkClick xmlns:r="http://schemas.openxmlformats.org/officeDocument/2006/relationships" r:id="rId18" tooltip="選取以移至 [樞紐分析表] 工作表"/>
            <a:extLst>
              <a:ext uri="{FF2B5EF4-FFF2-40B4-BE49-F238E27FC236}">
                <a16:creationId xmlns:a16="http://schemas.microsoft.com/office/drawing/2014/main" id="{34FB80A3-CAA8-4879-81AA-6C9C6DA04FF8}"/>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注意：</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如果您</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撰寫了大量條件式公式，建議您使用樞紐分析表。</a:t>
            </a:r>
            <a:r>
              <a:rPr lang="zh-tw" sz="1100" u="sng"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如需詳細資訊，請參閱這篇樞紐分析表文章</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209" name="文字方塊 100" descr="=SUMIF(D118:D122,&quot;&gt;=50&quot;)&#10;&#10;&#10;">
            <a:extLst>
              <a:ext uri="{FF2B5EF4-FFF2-40B4-BE49-F238E27FC236}">
                <a16:creationId xmlns:a16="http://schemas.microsoft.com/office/drawing/2014/main" id="{081FEA47-A154-4881-BA88-6F77A1DA2820}"/>
              </a:ext>
            </a:extLst>
          </xdr:cNvPr>
          <xdr:cNvSpPr txBox="1"/>
        </xdr:nvSpPr>
        <xdr:spPr>
          <a:xfrm>
            <a:off x="541774" y="15754052"/>
            <a:ext cx="3800296" cy="315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zh-tw" sz="2000">
                <a:effectLst/>
                <a:latin typeface="Courier New" panose="02070309020205020404" pitchFamily="49" charset="0"/>
                <a:ea typeface="Microsoft JhengHei UI" panose="020B0604030504040204" pitchFamily="34" charset="-120"/>
                <a:cs typeface="Courier New" panose="02070309020205020404" pitchFamily="49" charset="0"/>
              </a:rPr>
              <a:t>=</a:t>
            </a:r>
            <a:r>
              <a:rPr lang="zh-tw" sz="2000">
                <a:solidFill>
                  <a:schemeClr val="dk1"/>
                </a:solidFill>
                <a:effectLst/>
                <a:latin typeface="Courier New" panose="02070309020205020404" pitchFamily="49" charset="0"/>
                <a:ea typeface="Microsoft JhengHei UI" panose="020B0604030504040204" pitchFamily="34" charset="-120"/>
                <a:cs typeface="Courier New" panose="02070309020205020404" pitchFamily="49" charset="0"/>
              </a:rPr>
              <a:t>SUMIF(D118:D122,"&gt;=</a:t>
            </a:r>
            <a:r>
              <a:rPr lang="zh-tw" sz="2000">
                <a:effectLst/>
                <a:latin typeface="Courier New" panose="02070309020205020404" pitchFamily="49" charset="0"/>
                <a:ea typeface="Microsoft JhengHei UI" panose="020B0604030504040204" pitchFamily="34" charset="-120"/>
                <a:cs typeface="Courier New" panose="02070309020205020404" pitchFamily="49" charset="0"/>
              </a:rPr>
              <a:t>50")</a:t>
            </a:r>
          </a:p>
          <a:p>
            <a:pPr marL="0" marR="0" rtl="0">
              <a:spcBef>
                <a:spcPts val="0"/>
              </a:spcBef>
              <a:spcAft>
                <a:spcPts val="0"/>
              </a:spcAft>
            </a:pPr>
            <a:endParaRPr lang="en-US" sz="2000">
              <a:effectLst/>
              <a:latin typeface="Courier New" panose="02070309020205020404" pitchFamily="49" charset="0"/>
              <a:ea typeface="Microsoft JhengHei UI" panose="020B0604030504040204" pitchFamily="34" charset="-120"/>
              <a:cs typeface="Courier New" panose="02070309020205020404" pitchFamily="49" charset="0"/>
            </a:endParaRPr>
          </a:p>
        </xdr:txBody>
      </xdr:sp>
      <xdr:sp macro="" textlink="">
        <xdr:nvSpPr>
          <xdr:cNvPr id="210" name="左大括弧 209">
            <a:extLst>
              <a:ext uri="{FF2B5EF4-FFF2-40B4-BE49-F238E27FC236}">
                <a16:creationId xmlns:a16="http://schemas.microsoft.com/office/drawing/2014/main" id="{D4198EE4-6DA5-4995-A5C3-297510D75CBC}"/>
              </a:ext>
            </a:extLst>
          </xdr:cNvPr>
          <xdr:cNvSpPr/>
        </xdr:nvSpPr>
        <xdr:spPr>
          <a:xfrm rot="5400000">
            <a:off x="989434" y="15232721"/>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1" name="文字方塊 2" descr="依據以下準則將某些數值加總：&#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依據以下準則將某些數值加總：</a:t>
            </a:r>
          </a:p>
        </xdr:txBody>
      </xdr:sp>
      <xdr:sp macro="" textlink="">
        <xdr:nvSpPr>
          <xdr:cNvPr id="212" name="左大括弧 211">
            <a:extLst>
              <a:ext uri="{FF2B5EF4-FFF2-40B4-BE49-F238E27FC236}">
                <a16:creationId xmlns:a16="http://schemas.microsoft.com/office/drawing/2014/main" id="{1F715516-41DD-4007-B4E1-F5219D7F5E3F}"/>
              </a:ext>
            </a:extLst>
          </xdr:cNvPr>
          <xdr:cNvSpPr/>
        </xdr:nvSpPr>
        <xdr:spPr>
          <a:xfrm rot="5400000">
            <a:off x="2123333" y="14923858"/>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3" name="文字方塊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711460"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....查看這些儲存格...</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214" name="左大括弧 213">
            <a:extLst>
              <a:ext uri="{FF2B5EF4-FFF2-40B4-BE49-F238E27FC236}">
                <a16:creationId xmlns:a16="http://schemas.microsoft.com/office/drawing/2014/main" id="{DDE8A4F2-7D99-42CD-BA7B-3FD932A6B224}"/>
              </a:ext>
            </a:extLst>
          </xdr:cNvPr>
          <xdr:cNvSpPr/>
        </xdr:nvSpPr>
        <xdr:spPr>
          <a:xfrm rot="5400000">
            <a:off x="3361650" y="15171788"/>
            <a:ext cx="271590" cy="808946"/>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15" name="文字方塊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021100" y="14671077"/>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...如果值大於 50，進行加總。</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grpSp>
    <xdr:clientData/>
  </xdr:twoCellAnchor>
  <xdr:twoCellAnchor>
    <xdr:from>
      <xdr:col>5</xdr:col>
      <xdr:colOff>299647</xdr:colOff>
      <xdr:row>17</xdr:row>
      <xdr:rowOff>154967</xdr:rowOff>
    </xdr:from>
    <xdr:to>
      <xdr:col>11</xdr:col>
      <xdr:colOff>95238</xdr:colOff>
      <xdr:row>24</xdr:row>
      <xdr:rowOff>19050</xdr:rowOff>
    </xdr:to>
    <xdr:grpSp>
      <xdr:nvGrpSpPr>
        <xdr:cNvPr id="216" name="群組 215">
          <a:extLst>
            <a:ext uri="{FF2B5EF4-FFF2-40B4-BE49-F238E27FC236}">
              <a16:creationId xmlns:a16="http://schemas.microsoft.com/office/drawing/2014/main" id="{0FA38FBC-68F7-4669-920A-9D32BAD15061}"/>
            </a:ext>
          </a:extLst>
        </xdr:cNvPr>
        <xdr:cNvGrpSpPr/>
      </xdr:nvGrpSpPr>
      <xdr:grpSpPr>
        <a:xfrm>
          <a:off x="9786547" y="3964967"/>
          <a:ext cx="5367716" cy="1197583"/>
          <a:chOff x="9434126" y="7174892"/>
          <a:chExt cx="4119280" cy="1197583"/>
        </a:xfrm>
      </xdr:grpSpPr>
      <xdr:grpSp>
        <xdr:nvGrpSpPr>
          <xdr:cNvPr id="217" name="群組 216">
            <a:extLst>
              <a:ext uri="{FF2B5EF4-FFF2-40B4-BE49-F238E27FC236}">
                <a16:creationId xmlns:a16="http://schemas.microsoft.com/office/drawing/2014/main" id="{CD1F56E6-4339-49C4-BA4B-9E71C6AAB175}"/>
              </a:ext>
            </a:extLst>
          </xdr:cNvPr>
          <xdr:cNvGrpSpPr/>
        </xdr:nvGrpSpPr>
        <xdr:grpSpPr>
          <a:xfrm>
            <a:off x="9434126" y="7219374"/>
            <a:ext cx="4119280" cy="1153101"/>
            <a:chOff x="10339001" y="7219374"/>
            <a:chExt cx="4119280" cy="1153101"/>
          </a:xfrm>
        </xdr:grpSpPr>
        <xdr:grpSp>
          <xdr:nvGrpSpPr>
            <xdr:cNvPr id="219" name="專家級祕訣" descr="專家級祕訣">
              <a:extLst>
                <a:ext uri="{FF2B5EF4-FFF2-40B4-BE49-F238E27FC236}">
                  <a16:creationId xmlns:a16="http://schemas.microsoft.com/office/drawing/2014/main" id="{80AEA6E2-8705-424F-9170-D839A6C17C4E}"/>
                </a:ext>
              </a:extLst>
            </xdr:cNvPr>
            <xdr:cNvGrpSpPr/>
          </xdr:nvGrpSpPr>
          <xdr:grpSpPr>
            <a:xfrm>
              <a:off x="11734796" y="7219950"/>
              <a:ext cx="2723485" cy="1152525"/>
              <a:chOff x="8448675" y="2143125"/>
              <a:chExt cx="2393464" cy="1145492"/>
            </a:xfrm>
          </xdr:grpSpPr>
          <xdr:pic>
            <xdr:nvPicPr>
              <xdr:cNvPr id="221" name="圖形 2" descr="貓頭鷹">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8448675" y="2170284"/>
                <a:ext cx="402057" cy="444647"/>
              </a:xfrm>
              <a:prstGeom prst="rect">
                <a:avLst/>
              </a:prstGeom>
            </xdr:spPr>
          </xdr:pic>
          <xdr:sp macro="" textlink="">
            <xdr:nvSpPr>
              <xdr:cNvPr id="222" name="步驟"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56356" y="2143125"/>
                <a:ext cx="2085783" cy="11454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專家級祕訣</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ea typeface="Microsoft JhengHei UI" panose="020B0604030504040204" pitchFamily="34" charset="-120"/>
                    <a:cs typeface="Segoe UI Light" panose="020B0502040204020203" pitchFamily="34" charset="0"/>
                  </a:rPr>
                  <a:t>每個「水果」和「類型」儲存格都有下拉式清單，您可以從中選取不同的水果。試試看，並且關注公式自動更新。</a:t>
                </a:r>
              </a:p>
            </xdr:txBody>
          </xdr:sp>
        </xdr:grpSp>
        <xdr:sp macro="" textlink="">
          <xdr:nvSpPr>
            <xdr:cNvPr id="220" name="手繪多邊形：圖案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218" name="手繪多邊形：圖案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clientData/>
  </xdr:twoCellAnchor>
  <xdr:twoCellAnchor>
    <xdr:from>
      <xdr:col>1</xdr:col>
      <xdr:colOff>200025</xdr:colOff>
      <xdr:row>10</xdr:row>
      <xdr:rowOff>95249</xdr:rowOff>
    </xdr:from>
    <xdr:to>
      <xdr:col>1</xdr:col>
      <xdr:colOff>4429124</xdr:colOff>
      <xdr:row>21</xdr:row>
      <xdr:rowOff>25649</xdr:rowOff>
    </xdr:to>
    <xdr:grpSp>
      <xdr:nvGrpSpPr>
        <xdr:cNvPr id="223" name="群組 222">
          <a:extLst>
            <a:ext uri="{FF2B5EF4-FFF2-40B4-BE49-F238E27FC236}">
              <a16:creationId xmlns:a16="http://schemas.microsoft.com/office/drawing/2014/main" id="{6D0DD3D5-631D-4EF0-B8E5-3D745F7C34F8}"/>
            </a:ext>
          </a:extLst>
        </xdr:cNvPr>
        <xdr:cNvGrpSpPr/>
      </xdr:nvGrpSpPr>
      <xdr:grpSpPr>
        <a:xfrm>
          <a:off x="1295400" y="2571749"/>
          <a:ext cx="4229099" cy="2025900"/>
          <a:chOff x="3048000" y="4476749"/>
          <a:chExt cx="4229099" cy="2025900"/>
        </a:xfrm>
      </xdr:grpSpPr>
      <xdr:sp macro="" textlink="">
        <xdr:nvSpPr>
          <xdr:cNvPr id="224" name="文字_公式"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zh-tw" sz="2000">
                <a:solidFill>
                  <a:srgbClr val="000000"/>
                </a:solidFill>
                <a:effectLst/>
                <a:latin typeface="Courier New" panose="02070309020205020404" pitchFamily="49" charset="0"/>
                <a:ea typeface="Microsoft JhengHei UI" panose="020B0604030504040204" pitchFamily="34" charset="-120"/>
                <a:cs typeface="Courier New" panose="02070309020205020404" pitchFamily="49" charset="0"/>
              </a:rPr>
              <a:t>=SUMIF(C3:C14,C17,D3:D</a:t>
            </a:r>
            <a:r>
              <a:rPr lang="en-US" altLang="zh-TW" sz="2000">
                <a:solidFill>
                  <a:srgbClr val="000000"/>
                </a:solidFill>
                <a:effectLst/>
                <a:latin typeface="Courier New" panose="02070309020205020404" pitchFamily="49" charset="0"/>
                <a:ea typeface="Microsoft JhengHei UI" panose="020B0604030504040204" pitchFamily="34" charset="-120"/>
                <a:cs typeface="Courier New" panose="02070309020205020404" pitchFamily="49" charset="0"/>
              </a:rPr>
              <a:t>1</a:t>
            </a:r>
            <a:r>
              <a:rPr lang="zh-tw" sz="2000">
                <a:solidFill>
                  <a:srgbClr val="000000"/>
                </a:solidFill>
                <a:effectLst/>
                <a:latin typeface="Courier New" panose="02070309020205020404" pitchFamily="49" charset="0"/>
                <a:ea typeface="Microsoft JhengHei UI" panose="020B0604030504040204" pitchFamily="34" charset="-120"/>
                <a:cs typeface="Courier New" panose="02070309020205020404" pitchFamily="49" charset="0"/>
              </a:rPr>
              <a:t>4)</a:t>
            </a:r>
            <a:endParaRPr lang="en-US" sz="2000">
              <a:effectLst/>
              <a:latin typeface="Courier New" panose="02070309020205020404" pitchFamily="49" charset="0"/>
              <a:ea typeface="Microsoft JhengHei UI" panose="020B0604030504040204" pitchFamily="34" charset="-120"/>
              <a:cs typeface="Courier New" panose="02070309020205020404" pitchFamily="49" charset="0"/>
            </a:endParaRPr>
          </a:p>
        </xdr:txBody>
      </xdr:sp>
      <xdr:grpSp>
        <xdr:nvGrpSpPr>
          <xdr:cNvPr id="225" name="群組 224">
            <a:extLst>
              <a:ext uri="{FF2B5EF4-FFF2-40B4-BE49-F238E27FC236}">
                <a16:creationId xmlns:a16="http://schemas.microsoft.com/office/drawing/2014/main" id="{32BCCB5A-A2CD-497F-BF2F-258696BB6511}"/>
              </a:ext>
            </a:extLst>
          </xdr:cNvPr>
          <xdr:cNvGrpSpPr/>
        </xdr:nvGrpSpPr>
        <xdr:grpSpPr>
          <a:xfrm>
            <a:off x="3867150" y="4476749"/>
            <a:ext cx="1352550" cy="908853"/>
            <a:chOff x="3867150" y="4476749"/>
            <a:chExt cx="1352550" cy="908853"/>
          </a:xfrm>
        </xdr:grpSpPr>
        <xdr:sp macro="" textlink="">
          <xdr:nvSpPr>
            <xdr:cNvPr id="232" name="公式上方大括弧">
              <a:extLst>
                <a:ext uri="{FF2B5EF4-FFF2-40B4-BE49-F238E27FC236}">
                  <a16:creationId xmlns:a16="http://schemas.microsoft.com/office/drawing/2014/main" id="{30BE69DA-1183-4CDD-B940-0CD4E6DE5022}"/>
                </a:ext>
              </a:extLst>
            </xdr:cNvPr>
            <xdr:cNvSpPr/>
          </xdr:nvSpPr>
          <xdr:spPr>
            <a:xfrm rot="5400000">
              <a:off x="4312357" y="467924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3" name="文字_公式上方圖說文字" descr="您要查看哪個範圍？&#10;&#10;">
              <a:extLst>
                <a:ext uri="{FF2B5EF4-FFF2-40B4-BE49-F238E27FC236}">
                  <a16:creationId xmlns:a16="http://schemas.microsoft.com/office/drawing/2014/main" id="{FC61B534-CB59-4B54-8582-02E46A40345E}"/>
                </a:ext>
              </a:extLst>
            </xdr:cNvPr>
            <xdr:cNvSpPr txBox="1">
              <a:spLocks noChangeArrowheads="1"/>
            </xdr:cNvSpPr>
          </xdr:nvSpPr>
          <xdr:spPr bwMode="auto">
            <a:xfrm>
              <a:off x="3867150" y="4476749"/>
              <a:ext cx="1352550" cy="5760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您要查看哪個範圍？</a:t>
              </a:r>
            </a:p>
          </xdr:txBody>
        </xdr:sp>
      </xdr:grpSp>
      <xdr:grpSp>
        <xdr:nvGrpSpPr>
          <xdr:cNvPr id="226" name="群組 225">
            <a:extLst>
              <a:ext uri="{FF2B5EF4-FFF2-40B4-BE49-F238E27FC236}">
                <a16:creationId xmlns:a16="http://schemas.microsoft.com/office/drawing/2014/main" id="{6FA221CD-940C-4567-B73C-941BDC0DD971}"/>
              </a:ext>
            </a:extLst>
          </xdr:cNvPr>
          <xdr:cNvGrpSpPr/>
        </xdr:nvGrpSpPr>
        <xdr:grpSpPr>
          <a:xfrm>
            <a:off x="5343524" y="4476749"/>
            <a:ext cx="1933575" cy="908853"/>
            <a:chOff x="5343524" y="4476749"/>
            <a:chExt cx="1933575" cy="908853"/>
          </a:xfrm>
        </xdr:grpSpPr>
        <xdr:sp macro="" textlink="">
          <xdr:nvSpPr>
            <xdr:cNvPr id="230" name="公式上方大括弧">
              <a:extLst>
                <a:ext uri="{FF2B5EF4-FFF2-40B4-BE49-F238E27FC236}">
                  <a16:creationId xmlns:a16="http://schemas.microsoft.com/office/drawing/2014/main" id="{0F30C154-2F1F-4A51-9F6F-727C94B1953E}"/>
                </a:ext>
              </a:extLst>
            </xdr:cNvPr>
            <xdr:cNvSpPr/>
          </xdr:nvSpPr>
          <xdr:spPr>
            <a:xfrm rot="5400000">
              <a:off x="5951136" y="4707339"/>
              <a:ext cx="499277" cy="85725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1" name="文字_公式上方圖說文字" descr="針對找到的每個相符項目，您要在哪個範圍中執行加總？&#10;&#10;">
              <a:extLst>
                <a:ext uri="{FF2B5EF4-FFF2-40B4-BE49-F238E27FC236}">
                  <a16:creationId xmlns:a16="http://schemas.microsoft.com/office/drawing/2014/main" id="{DA6683AA-4CC0-471A-A679-B838AA382F23}"/>
                </a:ext>
              </a:extLst>
            </xdr:cNvPr>
            <xdr:cNvSpPr txBox="1">
              <a:spLocks noChangeArrowheads="1"/>
            </xdr:cNvSpPr>
          </xdr:nvSpPr>
          <xdr:spPr bwMode="auto">
            <a:xfrm>
              <a:off x="5343524" y="4476749"/>
              <a:ext cx="1933575" cy="57600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針對找到的每個相符項目，您要在哪個範圍執行加總？</a:t>
              </a:r>
            </a:p>
          </xdr:txBody>
        </xdr:sp>
      </xdr:grpSp>
      <xdr:grpSp>
        <xdr:nvGrpSpPr>
          <xdr:cNvPr id="227" name="群組 226">
            <a:extLst>
              <a:ext uri="{FF2B5EF4-FFF2-40B4-BE49-F238E27FC236}">
                <a16:creationId xmlns:a16="http://schemas.microsoft.com/office/drawing/2014/main" id="{19ECD3AD-6B72-4E46-8FCA-D4C2D3D56A1B}"/>
              </a:ext>
            </a:extLst>
          </xdr:cNvPr>
          <xdr:cNvGrpSpPr/>
        </xdr:nvGrpSpPr>
        <xdr:grpSpPr>
          <a:xfrm>
            <a:off x="4486275" y="5610223"/>
            <a:ext cx="1838325" cy="892426"/>
            <a:chOff x="4486275" y="5610223"/>
            <a:chExt cx="1838325" cy="892426"/>
          </a:xfrm>
        </xdr:grpSpPr>
        <xdr:sp macro="" textlink="">
          <xdr:nvSpPr>
            <xdr:cNvPr id="228" name="公式下方大括弧">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29" name="文字_公式下方圖說文字" descr="您要尋找哪個值 (文字或數值)？&#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49"/>
              <a:ext cx="1838325" cy="540000"/>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您要尋找哪個值 (文字或數值)？</a:t>
              </a:r>
            </a:p>
          </xdr:txBody>
        </xdr:sp>
      </xdr:grpSp>
    </xdr:grpSp>
    <xdr:clientData/>
  </xdr:twoCellAnchor>
  <xdr:twoCellAnchor>
    <xdr:from>
      <xdr:col>0</xdr:col>
      <xdr:colOff>371475</xdr:colOff>
      <xdr:row>26</xdr:row>
      <xdr:rowOff>9525</xdr:rowOff>
    </xdr:from>
    <xdr:to>
      <xdr:col>1</xdr:col>
      <xdr:colOff>5162550</xdr:colOff>
      <xdr:row>40</xdr:row>
      <xdr:rowOff>47625</xdr:rowOff>
    </xdr:to>
    <xdr:grpSp>
      <xdr:nvGrpSpPr>
        <xdr:cNvPr id="234" name="群組 233">
          <a:extLst>
            <a:ext uri="{FF2B5EF4-FFF2-40B4-BE49-F238E27FC236}">
              <a16:creationId xmlns:a16="http://schemas.microsoft.com/office/drawing/2014/main" id="{728ED977-068D-4BDD-9900-E7A1A0E01A3A}"/>
            </a:ext>
          </a:extLst>
        </xdr:cNvPr>
        <xdr:cNvGrpSpPr/>
      </xdr:nvGrpSpPr>
      <xdr:grpSpPr>
        <a:xfrm>
          <a:off x="371475" y="5534025"/>
          <a:ext cx="5886450" cy="2705100"/>
          <a:chOff x="3048000" y="2390775"/>
          <a:chExt cx="5762625" cy="2766074"/>
        </a:xfrm>
      </xdr:grpSpPr>
      <xdr:sp macro="" textlink="">
        <xdr:nvSpPr>
          <xdr:cNvPr id="235" name="公式下方大括弧">
            <a:extLst>
              <a:ext uri="{FF2B5EF4-FFF2-40B4-BE49-F238E27FC236}">
                <a16:creationId xmlns:a16="http://schemas.microsoft.com/office/drawing/2014/main" id="{453E28FE-C60F-4575-A21E-10394924F1B6}"/>
              </a:ext>
            </a:extLst>
          </xdr:cNvPr>
          <xdr:cNvSpPr/>
        </xdr:nvSpPr>
        <xdr:spPr>
          <a:xfrm rot="16200000">
            <a:off x="712443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6" name="公式下方大括弧">
            <a:extLst>
              <a:ext uri="{FF2B5EF4-FFF2-40B4-BE49-F238E27FC236}">
                <a16:creationId xmlns:a16="http://schemas.microsoft.com/office/drawing/2014/main" id="{B085E19B-EB18-43E6-AB6C-14F6D2AFA1F7}"/>
              </a:ext>
            </a:extLst>
          </xdr:cNvPr>
          <xdr:cNvSpPr/>
        </xdr:nvSpPr>
        <xdr:spPr>
          <a:xfrm rot="16200000">
            <a:off x="5458835"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37" name="公式上方大括弧">
            <a:extLst>
              <a:ext uri="{FF2B5EF4-FFF2-40B4-BE49-F238E27FC236}">
                <a16:creationId xmlns:a16="http://schemas.microsoft.com/office/drawing/2014/main" id="{603AD5F7-68AF-446A-BFE6-540AB775EE0B}"/>
              </a:ext>
            </a:extLst>
          </xdr:cNvPr>
          <xdr:cNvSpPr/>
        </xdr:nvSpPr>
        <xdr:spPr>
          <a:xfrm rot="5400000">
            <a:off x="7959709"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8" name="公式上方大括弧">
            <a:extLst>
              <a:ext uri="{FF2B5EF4-FFF2-40B4-BE49-F238E27FC236}">
                <a16:creationId xmlns:a16="http://schemas.microsoft.com/office/drawing/2014/main" id="{7F46ED5B-D0A5-48EA-9808-55AA0B5DCFB6}"/>
              </a:ext>
            </a:extLst>
          </xdr:cNvPr>
          <xdr:cNvSpPr/>
        </xdr:nvSpPr>
        <xdr:spPr>
          <a:xfrm rot="5400000">
            <a:off x="6300120" y="3154764"/>
            <a:ext cx="499277" cy="49529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39" name="公式上方大括弧">
            <a:extLst>
              <a:ext uri="{FF2B5EF4-FFF2-40B4-BE49-F238E27FC236}">
                <a16:creationId xmlns:a16="http://schemas.microsoft.com/office/drawing/2014/main" id="{2B008E04-D970-4F41-8120-26A572840D06}"/>
              </a:ext>
            </a:extLst>
          </xdr:cNvPr>
          <xdr:cNvSpPr/>
        </xdr:nvSpPr>
        <xdr:spPr>
          <a:xfrm rot="5400000">
            <a:off x="4438057" y="29456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40" name="文字_公式"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34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zh-tw" sz="2000">
                <a:solidFill>
                  <a:srgbClr val="000000"/>
                </a:solidFill>
                <a:effectLst/>
                <a:latin typeface="Courier New" panose="02070309020205020404" pitchFamily="49" charset="0"/>
                <a:ea typeface="Microsoft JhengHei UI" panose="020B0604030504040204" pitchFamily="34" charset="-120"/>
                <a:cs typeface="Courier New" panose="02070309020205020404" pitchFamily="49" charset="0"/>
              </a:rPr>
              <a:t>=SUMIFS(H3:H14,F3:F14,F17,G3:G14,G17)</a:t>
            </a:r>
            <a:endParaRPr lang="en-US" sz="2000">
              <a:effectLst/>
              <a:latin typeface="Courier New" panose="02070309020205020404" pitchFamily="49" charset="0"/>
              <a:ea typeface="Microsoft JhengHei UI" panose="020B0604030504040204" pitchFamily="34" charset="-120"/>
              <a:cs typeface="Courier New" panose="02070309020205020404" pitchFamily="49" charset="0"/>
            </a:endParaRPr>
          </a:p>
        </xdr:txBody>
      </xdr:sp>
      <xdr:sp macro="" textlink="">
        <xdr:nvSpPr>
          <xdr:cNvPr id="241" name="文字_公式上方圖說文字" descr="您要加總哪個範圍？&#10;&#10;">
            <a:extLst>
              <a:ext uri="{FF2B5EF4-FFF2-40B4-BE49-F238E27FC236}">
                <a16:creationId xmlns:a16="http://schemas.microsoft.com/office/drawing/2014/main" id="{5209C66A-5C8F-41D1-8DB2-9F8FD328852E}"/>
              </a:ext>
            </a:extLst>
          </xdr:cNvPr>
          <xdr:cNvSpPr txBox="1">
            <a:spLocks noChangeArrowheads="1"/>
          </xdr:cNvSpPr>
        </xdr:nvSpPr>
        <xdr:spPr bwMode="auto">
          <a:xfrm>
            <a:off x="4201126"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您要加總哪個範圍？</a:t>
            </a:r>
          </a:p>
        </xdr:txBody>
      </xdr:sp>
      <xdr:sp macro="" textlink="">
        <xdr:nvSpPr>
          <xdr:cNvPr id="242" name="文字_公式上方圖說文字" descr="這是第一個相符項目的準則&#10;&#10;">
            <a:extLst>
              <a:ext uri="{FF2B5EF4-FFF2-40B4-BE49-F238E27FC236}">
                <a16:creationId xmlns:a16="http://schemas.microsoft.com/office/drawing/2014/main" id="{286630EC-EA3F-4D50-8FFF-0ED884EEF636}"/>
              </a:ext>
            </a:extLst>
          </xdr:cNvPr>
          <xdr:cNvSpPr txBox="1">
            <a:spLocks noChangeArrowheads="1"/>
          </xdr:cNvSpPr>
        </xdr:nvSpPr>
        <xdr:spPr bwMode="auto">
          <a:xfrm>
            <a:off x="6063188"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這是第一個相符的準則</a:t>
            </a:r>
          </a:p>
        </xdr:txBody>
      </xdr:sp>
      <xdr:sp macro="" textlink="">
        <xdr:nvSpPr>
          <xdr:cNvPr id="243" name="文字_公式上方圖說文字" descr="這是第二個相符項目的準則&#10;">
            <a:extLst>
              <a:ext uri="{FF2B5EF4-FFF2-40B4-BE49-F238E27FC236}">
                <a16:creationId xmlns:a16="http://schemas.microsoft.com/office/drawing/2014/main" id="{B3BB2D28-068F-4AB6-BFAC-B52FC9070566}"/>
              </a:ext>
            </a:extLst>
          </xdr:cNvPr>
          <xdr:cNvSpPr txBox="1">
            <a:spLocks noChangeArrowheads="1"/>
          </xdr:cNvSpPr>
        </xdr:nvSpPr>
        <xdr:spPr bwMode="auto">
          <a:xfrm>
            <a:off x="7614883"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這是第二個相符的準則</a:t>
            </a:r>
          </a:p>
        </xdr:txBody>
      </xdr:sp>
      <xdr:sp macro="" textlink="">
        <xdr:nvSpPr>
          <xdr:cNvPr id="244" name="文字_公式下方圖說文字" descr="這是尋找相符項目的第一個範圍&#10;&#10;">
            <a:extLst>
              <a:ext uri="{FF2B5EF4-FFF2-40B4-BE49-F238E27FC236}">
                <a16:creationId xmlns:a16="http://schemas.microsoft.com/office/drawing/2014/main" id="{0209406C-4AC6-478F-BBC6-E1CFFB3DE19A}"/>
              </a:ext>
            </a:extLst>
          </xdr:cNvPr>
          <xdr:cNvSpPr txBox="1">
            <a:spLocks noChangeArrowheads="1"/>
          </xdr:cNvSpPr>
        </xdr:nvSpPr>
        <xdr:spPr bwMode="auto">
          <a:xfrm>
            <a:off x="5221904" y="4257675"/>
            <a:ext cx="973138"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這是尋找相符項目的第一個範圍</a:t>
            </a:r>
          </a:p>
        </xdr:txBody>
      </xdr:sp>
      <xdr:sp macro="" textlink="">
        <xdr:nvSpPr>
          <xdr:cNvPr id="245" name="文字_公式下方圖說文字" descr="這是尋找相符項目的第二個範圍&#10;">
            <a:extLst>
              <a:ext uri="{FF2B5EF4-FFF2-40B4-BE49-F238E27FC236}">
                <a16:creationId xmlns:a16="http://schemas.microsoft.com/office/drawing/2014/main" id="{4ADCD88A-8CD3-475F-887A-B5D4E4DD79EB}"/>
              </a:ext>
            </a:extLst>
          </xdr:cNvPr>
          <xdr:cNvSpPr txBox="1">
            <a:spLocks noChangeArrowheads="1"/>
          </xdr:cNvSpPr>
        </xdr:nvSpPr>
        <xdr:spPr bwMode="auto">
          <a:xfrm>
            <a:off x="6917353" y="4257675"/>
            <a:ext cx="973138" cy="899174"/>
          </a:xfrm>
          <a:prstGeom prst="rect">
            <a:avLst/>
          </a:prstGeom>
          <a:solidFill>
            <a:srgbClr val="E2F0D9"/>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這是尋找相符項目的第二個範圍</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更多詳細資料] 按鈕" descr="向下瀏覽以取得更多詳細資料">
          <a:hlinkClick xmlns:r="http://schemas.openxmlformats.org/officeDocument/2006/relationships" r:id="rId21"/>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lientData/>
  </xdr:twoCellAnchor>
  <xdr:twoCellAnchor>
    <xdr:from>
      <xdr:col>0</xdr:col>
      <xdr:colOff>361950</xdr:colOff>
      <xdr:row>87</xdr:row>
      <xdr:rowOff>76200</xdr:rowOff>
    </xdr:from>
    <xdr:to>
      <xdr:col>1</xdr:col>
      <xdr:colOff>5084175</xdr:colOff>
      <xdr:row>114</xdr:row>
      <xdr:rowOff>47625</xdr:rowOff>
    </xdr:to>
    <xdr:grpSp>
      <xdr:nvGrpSpPr>
        <xdr:cNvPr id="247" name="群組 246">
          <a:extLst>
            <a:ext uri="{FF2B5EF4-FFF2-40B4-BE49-F238E27FC236}">
              <a16:creationId xmlns:a16="http://schemas.microsoft.com/office/drawing/2014/main" id="{09584E15-D790-4D76-92D3-066AB32B2FF1}"/>
            </a:ext>
          </a:extLst>
        </xdr:cNvPr>
        <xdr:cNvGrpSpPr/>
      </xdr:nvGrpSpPr>
      <xdr:grpSpPr>
        <a:xfrm>
          <a:off x="361950" y="17259300"/>
          <a:ext cx="5817600" cy="5114925"/>
          <a:chOff x="171450" y="17059274"/>
          <a:chExt cx="5576744" cy="4902269"/>
        </a:xfrm>
      </xdr:grpSpPr>
      <xdr:sp macro="" textlink="">
        <xdr:nvSpPr>
          <xdr:cNvPr id="248" name="文字_導覽背景" descr="背景​​">
            <a:extLst>
              <a:ext uri="{FF2B5EF4-FFF2-40B4-BE49-F238E27FC236}">
                <a16:creationId xmlns:a16="http://schemas.microsoft.com/office/drawing/2014/main" id="{8E61E9C5-65C2-4369-A6AF-D75ED603CD7B}"/>
              </a:ext>
            </a:extLst>
          </xdr:cNvPr>
          <xdr:cNvSpPr/>
        </xdr:nvSpPr>
        <xdr:spPr>
          <a:xfrm>
            <a:off x="171450" y="17059274"/>
            <a:ext cx="5576744" cy="49022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249" name="文字_導覽標頭" descr="更多條件式函數">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更多條件式函數</a:t>
            </a:r>
          </a:p>
        </xdr:txBody>
      </xdr:sp>
      <xdr:cxnSp macro="">
        <xdr:nvCxnSpPr>
          <xdr:cNvPr id="250" name="文字_導覽線條1" descr="裝飾線條">
            <a:extLst>
              <a:ext uri="{FF2B5EF4-FFF2-40B4-BE49-F238E27FC236}">
                <a16:creationId xmlns:a16="http://schemas.microsoft.com/office/drawing/2014/main" id="{0B4852DC-84E1-44B2-B534-237DF994C113}"/>
              </a:ext>
            </a:extLst>
          </xdr:cNvPr>
          <xdr:cNvCxnSpPr>
            <a:cxnSpLocks/>
          </xdr:cNvCxnSpPr>
        </xdr:nvCxnSpPr>
        <xdr:spPr>
          <a:xfrm>
            <a:off x="374653" y="17732171"/>
            <a:ext cx="511086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文字_導覽線條2" descr="裝飾線條">
            <a:extLst>
              <a:ext uri="{FF2B5EF4-FFF2-40B4-BE49-F238E27FC236}">
                <a16:creationId xmlns:a16="http://schemas.microsoft.com/office/drawing/2014/main" id="{27456BD0-9A31-4908-B32F-01511DF14E1C}"/>
              </a:ext>
            </a:extLst>
          </xdr:cNvPr>
          <xdr:cNvCxnSpPr>
            <a:cxnSpLocks/>
          </xdr:cNvCxnSpPr>
        </xdr:nvCxnSpPr>
        <xdr:spPr>
          <a:xfrm>
            <a:off x="374653" y="21208252"/>
            <a:ext cx="511086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文字_導覽簡介"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106,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3"/>
            <a:ext cx="5131719" cy="27806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您已經看過 SUMIF、SUMIFS、COUNTIF 和 COUNTIFS。您現在可以使用其他函數 (例如 </a:t>
            </a: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AVERAGEIF/S</a:t>
            </a: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MAXIFS</a:t>
            </a: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MINIFS) 嘗試您自己的組合。</a:t>
            </a: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它們都有相同的結構，因此撰寫完一個公式後，就可以直接用您想要的函數來取代函數名稱。我們已撰寫您在儲存格 E106 中會需要的所有函數，因此您可以複製/貼上這些函數，或嘗試自行練習輸入這些函數。</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SUMIF	=SUMIF(C92:C103,C106,E92:E103)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SUMIFS	=SUMIFS(E92:E103,C92:C103,C106,D92:D103,D106)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AVERAGEIF	=AVERAGEIF(C92:C103,C106,E92:E103) </a:t>
            </a:r>
          </a:p>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AVERAGEIFS	=AVERAGEIFS(E92:E103,C92:C103,C106,D92:D103,D106)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COUNTIF	=COUNTIF(C92:C103,C106)</a:t>
            </a:r>
          </a:p>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COUNTIFS	=COUNTIFS(C92:C103,C106,D92:D103,D106) </a:t>
            </a:r>
          </a:p>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MAXIFS	=MAXIFS(E92:E103,C92:C103,C106,D92:D103,D106)</a:t>
            </a:r>
          </a:p>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MINIFS	=MINIFS(E92:E103,C92:C103,C106,D92:D103,D106)</a:t>
            </a:r>
            <a:endParaRPr kumimoji="0" lang="en-US"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grpSp>
    <xdr:clientData/>
  </xdr:twoCellAnchor>
  <xdr:twoCellAnchor editAs="absolute">
    <xdr:from>
      <xdr:col>1</xdr:col>
      <xdr:colOff>3510011</xdr:colOff>
      <xdr:row>110</xdr:row>
      <xdr:rowOff>180975</xdr:rowOff>
    </xdr:from>
    <xdr:to>
      <xdr:col>1</xdr:col>
      <xdr:colOff>4785181</xdr:colOff>
      <xdr:row>112</xdr:row>
      <xdr:rowOff>154474</xdr:rowOff>
    </xdr:to>
    <xdr:sp macro="" textlink="">
      <xdr:nvSpPr>
        <xdr:cNvPr id="254" name="[下一個] 按鈕" descr="前往下一個工作表">
          <a:hlinkClick xmlns:r="http://schemas.openxmlformats.org/officeDocument/2006/relationships" r:id="rId3" tooltip="按一下這裡前往下一個工作表"/>
          <a:extLst>
            <a:ext uri="{FF2B5EF4-FFF2-40B4-BE49-F238E27FC236}">
              <a16:creationId xmlns:a16="http://schemas.microsoft.com/office/drawing/2014/main" id="{9817BA26-3F9D-4337-96B5-9647A836BC8B}"/>
            </a:ext>
          </a:extLst>
        </xdr:cNvPr>
        <xdr:cNvSpPr/>
      </xdr:nvSpPr>
      <xdr:spPr>
        <a:xfrm>
          <a:off x="4605386" y="21745575"/>
          <a:ext cx="1275170" cy="3544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0</xdr:col>
      <xdr:colOff>361950</xdr:colOff>
      <xdr:row>46</xdr:row>
      <xdr:rowOff>38101</xdr:rowOff>
    </xdr:from>
    <xdr:to>
      <xdr:col>1</xdr:col>
      <xdr:colOff>5083175</xdr:colOff>
      <xdr:row>86</xdr:row>
      <xdr:rowOff>152400</xdr:rowOff>
    </xdr:to>
    <xdr:sp macro="" textlink="">
      <xdr:nvSpPr>
        <xdr:cNvPr id="255" name="背景​​" descr="背景​​">
          <a:extLst>
            <a:ext uri="{FF2B5EF4-FFF2-40B4-BE49-F238E27FC236}">
              <a16:creationId xmlns:a16="http://schemas.microsoft.com/office/drawing/2014/main" id="{59826756-6574-4AD7-87F3-D5BE531411BB}"/>
            </a:ext>
          </a:extLst>
        </xdr:cNvPr>
        <xdr:cNvSpPr/>
      </xdr:nvSpPr>
      <xdr:spPr>
        <a:xfrm>
          <a:off x="361950" y="9372601"/>
          <a:ext cx="5816600" cy="77723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49</xdr:row>
      <xdr:rowOff>171450</xdr:rowOff>
    </xdr:from>
    <xdr:to>
      <xdr:col>1</xdr:col>
      <xdr:colOff>4783124</xdr:colOff>
      <xdr:row>49</xdr:row>
      <xdr:rowOff>171450</xdr:rowOff>
    </xdr:to>
    <xdr:cxnSp macro="">
      <xdr:nvCxnSpPr>
        <xdr:cNvPr id="256" name="底部線條" descr="裝飾線條">
          <a:extLst>
            <a:ext uri="{FF2B5EF4-FFF2-40B4-BE49-F238E27FC236}">
              <a16:creationId xmlns:a16="http://schemas.microsoft.com/office/drawing/2014/main" id="{B4FBAF4C-2650-48DA-8BD4-CB9BC3AD86EB}"/>
            </a:ext>
          </a:extLst>
        </xdr:cNvPr>
        <xdr:cNvCxnSpPr>
          <a:cxnSpLocks/>
        </xdr:cNvCxnSpPr>
      </xdr:nvCxnSpPr>
      <xdr:spPr>
        <a:xfrm>
          <a:off x="547701" y="9944100"/>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46</xdr:row>
      <xdr:rowOff>142875</xdr:rowOff>
    </xdr:from>
    <xdr:to>
      <xdr:col>1</xdr:col>
      <xdr:colOff>4786320</xdr:colOff>
      <xdr:row>49</xdr:row>
      <xdr:rowOff>76267</xdr:rowOff>
    </xdr:to>
    <xdr:sp macro="" textlink="">
      <xdr:nvSpPr>
        <xdr:cNvPr id="257" name="步驟" descr="條件式函數 - COUNTIF&#10;">
          <a:extLst>
            <a:ext uri="{FF2B5EF4-FFF2-40B4-BE49-F238E27FC236}">
              <a16:creationId xmlns:a16="http://schemas.microsoft.com/office/drawing/2014/main" id="{4F5A7CA7-2EE0-4987-96BE-26C1F64A94A4}"/>
            </a:ext>
          </a:extLst>
        </xdr:cNvPr>
        <xdr:cNvSpPr txBox="1"/>
      </xdr:nvSpPr>
      <xdr:spPr>
        <a:xfrm>
          <a:off x="547701" y="937260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條件式函數 - COUNTIF</a:t>
          </a:r>
        </a:p>
      </xdr:txBody>
    </xdr:sp>
    <xdr:clientData/>
  </xdr:twoCellAnchor>
  <xdr:twoCellAnchor editAs="absolute">
    <xdr:from>
      <xdr:col>0</xdr:col>
      <xdr:colOff>547701</xdr:colOff>
      <xdr:row>82</xdr:row>
      <xdr:rowOff>21167</xdr:rowOff>
    </xdr:from>
    <xdr:to>
      <xdr:col>1</xdr:col>
      <xdr:colOff>4783124</xdr:colOff>
      <xdr:row>82</xdr:row>
      <xdr:rowOff>21167</xdr:rowOff>
    </xdr:to>
    <xdr:cxnSp macro="">
      <xdr:nvCxnSpPr>
        <xdr:cNvPr id="258" name="底部線條" descr="裝飾線條">
          <a:extLst>
            <a:ext uri="{FF2B5EF4-FFF2-40B4-BE49-F238E27FC236}">
              <a16:creationId xmlns:a16="http://schemas.microsoft.com/office/drawing/2014/main" id="{C9452A63-9B04-434E-9908-862D1547B71D}"/>
            </a:ext>
          </a:extLst>
        </xdr:cNvPr>
        <xdr:cNvCxnSpPr>
          <a:cxnSpLocks/>
        </xdr:cNvCxnSpPr>
      </xdr:nvCxnSpPr>
      <xdr:spPr>
        <a:xfrm>
          <a:off x="547701" y="16251767"/>
          <a:ext cx="533079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49</xdr:row>
      <xdr:rowOff>171450</xdr:rowOff>
    </xdr:from>
    <xdr:to>
      <xdr:col>1</xdr:col>
      <xdr:colOff>4850088</xdr:colOff>
      <xdr:row>54</xdr:row>
      <xdr:rowOff>66675</xdr:rowOff>
    </xdr:to>
    <xdr:sp macro="" textlink="">
      <xdr:nvSpPr>
        <xdr:cNvPr id="259" name="新增數值簡介" descr="COUNTIF 和 COUNTIFS 可讓您根據您指定的準則，計算某個範圍中的值。它們與其他的 IF 和 IFS 函數稍微不同，它們只有一個準則範圍和準則。它們不會計算一個範圍，然後查詢另一個範圍進行彙總。&#10;&#10;">
          <a:extLst>
            <a:ext uri="{FF2B5EF4-FFF2-40B4-BE49-F238E27FC236}">
              <a16:creationId xmlns:a16="http://schemas.microsoft.com/office/drawing/2014/main" id="{FD69C356-A3A0-4ACC-9509-4D5AB4574A46}"/>
            </a:ext>
          </a:extLst>
        </xdr:cNvPr>
        <xdr:cNvSpPr txBox="1"/>
      </xdr:nvSpPr>
      <xdr:spPr>
        <a:xfrm>
          <a:off x="561975" y="9944100"/>
          <a:ext cx="5300938" cy="809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1" kern="12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COUNTIF</a:t>
          </a:r>
          <a:r>
            <a:rPr lang="zh-tw" sz="1100" kern="12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和</a:t>
          </a:r>
          <a:r>
            <a:rPr lang="zh-tw" sz="1100" kern="12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kern="12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COUNTIFS</a:t>
          </a:r>
          <a:r>
            <a:rPr lang="zh-tw" sz="1100" kern="12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可讓您根據您指定的準則，計算某個範圍中的值。它們與其他的 IF 和 IFS 函數</a:t>
          </a:r>
          <a:r>
            <a:rPr lang="zh-tw" sz="1100" kern="12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稍微不同</a:t>
          </a:r>
          <a:r>
            <a:rPr lang="zh-tw" sz="1100" kern="12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，它們只有一個準則範圍和準則。它們不會評估一個範圍，然後查詢另一個範圍進行彙總。</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xdr:twoCellAnchor>
  <xdr:twoCellAnchor editAs="absolute">
    <xdr:from>
      <xdr:col>0</xdr:col>
      <xdr:colOff>571500</xdr:colOff>
      <xdr:row>54</xdr:row>
      <xdr:rowOff>133350</xdr:rowOff>
    </xdr:from>
    <xdr:to>
      <xdr:col>1</xdr:col>
      <xdr:colOff>4778776</xdr:colOff>
      <xdr:row>57</xdr:row>
      <xdr:rowOff>186632</xdr:rowOff>
    </xdr:to>
    <xdr:grpSp>
      <xdr:nvGrpSpPr>
        <xdr:cNvPr id="7" name="群組 6">
          <a:extLst>
            <a:ext uri="{FF2B5EF4-FFF2-40B4-BE49-F238E27FC236}">
              <a16:creationId xmlns:a16="http://schemas.microsoft.com/office/drawing/2014/main" id="{C3BD1A07-2431-425E-86AC-0511A2AC3600}"/>
            </a:ext>
          </a:extLst>
        </xdr:cNvPr>
        <xdr:cNvGrpSpPr/>
      </xdr:nvGrpSpPr>
      <xdr:grpSpPr>
        <a:xfrm>
          <a:off x="571500" y="10991850"/>
          <a:ext cx="5302651" cy="624782"/>
          <a:chOff x="609600" y="10820400"/>
          <a:chExt cx="5220101" cy="596207"/>
        </a:xfrm>
      </xdr:grpSpPr>
      <xdr:sp macro="" textlink="">
        <xdr:nvSpPr>
          <xdr:cNvPr id="261" name="文字_步驟" descr="選取儲存格 D64，然後輸入 = COUNTIF(C50:C61,C64)。COUNTIF 的結構如下：&#10;&#10;">
            <a:extLst>
              <a:ext uri="{FF2B5EF4-FFF2-40B4-BE49-F238E27FC236}">
                <a16:creationId xmlns:a16="http://schemas.microsoft.com/office/drawing/2014/main" id="{5A24FD00-3141-43E5-BFED-59C3725C0920}"/>
              </a:ext>
            </a:extLst>
          </xdr:cNvPr>
          <xdr:cNvSpPr txBox="1"/>
        </xdr:nvSpPr>
        <xdr:spPr>
          <a:xfrm>
            <a:off x="981857" y="108623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選取儲存格 D64，然後輸入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=COUNTIF(C50:C61,C64)</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COUNTIF</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的結構如下：</a:t>
            </a:r>
          </a:p>
        </xdr:txBody>
      </xdr:sp>
      <xdr:sp macro="" textlink="">
        <xdr:nvSpPr>
          <xdr:cNvPr id="262" name="圖案_步驟"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clientData/>
  </xdr:twoCellAnchor>
  <xdr:twoCellAnchor editAs="absolute">
    <xdr:from>
      <xdr:col>1</xdr:col>
      <xdr:colOff>3568701</xdr:colOff>
      <xdr:row>83</xdr:row>
      <xdr:rowOff>21166</xdr:rowOff>
    </xdr:from>
    <xdr:to>
      <xdr:col>1</xdr:col>
      <xdr:colOff>4712904</xdr:colOff>
      <xdr:row>85</xdr:row>
      <xdr:rowOff>7290</xdr:rowOff>
    </xdr:to>
    <xdr:sp macro="" textlink="">
      <xdr:nvSpPr>
        <xdr:cNvPr id="263" name="[下一個] 按鈕" descr="前往下一個工作表">
          <a:hlinkClick xmlns:r="http://schemas.openxmlformats.org/officeDocument/2006/relationships" r:id="rId3" tooltip="按一下這裡前往下一個工作表"/>
          <a:extLst>
            <a:ext uri="{FF2B5EF4-FFF2-40B4-BE49-F238E27FC236}">
              <a16:creationId xmlns:a16="http://schemas.microsoft.com/office/drawing/2014/main" id="{D6D142FA-1F43-4673-883C-435BE4A5BB46}"/>
            </a:ext>
          </a:extLst>
        </xdr:cNvPr>
        <xdr:cNvSpPr/>
      </xdr:nvSpPr>
      <xdr:spPr>
        <a:xfrm>
          <a:off x="4664076" y="16442266"/>
          <a:ext cx="1144203" cy="36712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xdr:twoCellAnchor>
  <xdr:twoCellAnchor editAs="absolute">
    <xdr:from>
      <xdr:col>0</xdr:col>
      <xdr:colOff>532797</xdr:colOff>
      <xdr:row>65</xdr:row>
      <xdr:rowOff>19040</xdr:rowOff>
    </xdr:from>
    <xdr:to>
      <xdr:col>1</xdr:col>
      <xdr:colOff>4740073</xdr:colOff>
      <xdr:row>69</xdr:row>
      <xdr:rowOff>76191</xdr:rowOff>
    </xdr:to>
    <xdr:grpSp>
      <xdr:nvGrpSpPr>
        <xdr:cNvPr id="6" name="群組 5">
          <a:extLst>
            <a:ext uri="{FF2B5EF4-FFF2-40B4-BE49-F238E27FC236}">
              <a16:creationId xmlns:a16="http://schemas.microsoft.com/office/drawing/2014/main" id="{0DA1DA82-7F55-47D3-8AE9-D782CB1AADE4}"/>
            </a:ext>
          </a:extLst>
        </xdr:cNvPr>
        <xdr:cNvGrpSpPr/>
      </xdr:nvGrpSpPr>
      <xdr:grpSpPr>
        <a:xfrm>
          <a:off x="532797" y="13011140"/>
          <a:ext cx="5302651" cy="819151"/>
          <a:chOff x="571500" y="13230224"/>
          <a:chExt cx="5220101" cy="596208"/>
        </a:xfrm>
      </xdr:grpSpPr>
      <xdr:sp macro="" textlink="">
        <xdr:nvSpPr>
          <xdr:cNvPr id="265" name="文字_步驟" descr="COUNTIFS 與 SUMIF 相同，但 COUNTIFS 可讓您使用多個準則。因此，在此範例中，您可以同時尋找「水果」和「類型」，而不只有「水果」。選取儲存格 H64，然後輸入 =COUNTIFS(F50:F61,F64,G50:G61,G64)。COUNTIFS 的結構如下：&#10;&#10;&#10;">
            <a:extLst>
              <a:ext uri="{FF2B5EF4-FFF2-40B4-BE49-F238E27FC236}">
                <a16:creationId xmlns:a16="http://schemas.microsoft.com/office/drawing/2014/main" id="{FA9C0F1D-374A-480D-BD12-25CF4F963447}"/>
              </a:ext>
            </a:extLst>
          </xdr:cNvPr>
          <xdr:cNvSpPr txBox="1"/>
        </xdr:nvSpPr>
        <xdr:spPr>
          <a:xfrm>
            <a:off x="981857" y="13272183"/>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COUNTIFS</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與 SUMIF 相同，但它可讓您使用多個準則。因此，在此範例中，您可以尋找「水果」和「類型」，而不只是「水果」。選取儲存格 H64，然後輸入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=COUNTIFS(F50:F61,F64,G50:G61,G64)</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COUNTIFS</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的結構如下：</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266" name="圖案_步驟" descr="2">
            <a:extLst>
              <a:ext uri="{FF2B5EF4-FFF2-40B4-BE49-F238E27FC236}">
                <a16:creationId xmlns:a16="http://schemas.microsoft.com/office/drawing/2014/main" id="{01BEDDF5-7F0E-40BD-AB8B-30CD8617713C}"/>
              </a:ext>
            </a:extLst>
          </xdr:cNvPr>
          <xdr:cNvSpPr/>
        </xdr:nvSpPr>
        <xdr:spPr>
          <a:xfrm>
            <a:off x="571500" y="13230224"/>
            <a:ext cx="374621" cy="267261"/>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clientData/>
  </xdr:twoCellAnchor>
  <xdr:twoCellAnchor>
    <xdr:from>
      <xdr:col>1</xdr:col>
      <xdr:colOff>190500</xdr:colOff>
      <xdr:row>56</xdr:row>
      <xdr:rowOff>66675</xdr:rowOff>
    </xdr:from>
    <xdr:to>
      <xdr:col>1</xdr:col>
      <xdr:colOff>4162425</xdr:colOff>
      <xdr:row>65</xdr:row>
      <xdr:rowOff>64631</xdr:rowOff>
    </xdr:to>
    <xdr:grpSp>
      <xdr:nvGrpSpPr>
        <xdr:cNvPr id="267" name="群組 266">
          <a:extLst>
            <a:ext uri="{FF2B5EF4-FFF2-40B4-BE49-F238E27FC236}">
              <a16:creationId xmlns:a16="http://schemas.microsoft.com/office/drawing/2014/main" id="{E8932D15-E179-42A0-91A2-EDDEA215314C}"/>
            </a:ext>
          </a:extLst>
        </xdr:cNvPr>
        <xdr:cNvGrpSpPr/>
      </xdr:nvGrpSpPr>
      <xdr:grpSpPr>
        <a:xfrm>
          <a:off x="1285875" y="11306175"/>
          <a:ext cx="3971925" cy="1750556"/>
          <a:chOff x="3048000" y="4524375"/>
          <a:chExt cx="3971925" cy="1716565"/>
        </a:xfrm>
      </xdr:grpSpPr>
      <xdr:sp macro="" textlink="">
        <xdr:nvSpPr>
          <xdr:cNvPr id="268" name="文字_公式" descr="=COUNTIF(C50:C61,C64)&#10;">
            <a:extLst>
              <a:ext uri="{FF2B5EF4-FFF2-40B4-BE49-F238E27FC236}">
                <a16:creationId xmlns:a16="http://schemas.microsoft.com/office/drawing/2014/main" id="{D17C46BB-8EDD-4801-A739-F49A4AD6B9C6}"/>
              </a:ext>
            </a:extLst>
          </xdr:cNvPr>
          <xdr:cNvSpPr txBox="1"/>
        </xdr:nvSpPr>
        <xdr:spPr>
          <a:xfrm>
            <a:off x="3048000" y="5287300"/>
            <a:ext cx="3971925" cy="367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zh-tw" sz="2000">
                <a:solidFill>
                  <a:srgbClr val="000000"/>
                </a:solidFill>
                <a:effectLst/>
                <a:latin typeface="Courier New" panose="02070309020205020404" pitchFamily="49" charset="0"/>
                <a:ea typeface="Microsoft JhengHei UI" panose="020B0604030504040204" pitchFamily="34" charset="-120"/>
                <a:cs typeface="Courier New" panose="02070309020205020404" pitchFamily="49" charset="0"/>
              </a:rPr>
              <a:t>=COUNTIF(C50:C61,C64)</a:t>
            </a:r>
            <a:endParaRPr lang="en-US" sz="2000">
              <a:effectLst/>
              <a:latin typeface="Courier New" panose="02070309020205020404" pitchFamily="49" charset="0"/>
              <a:ea typeface="Microsoft JhengHei UI" panose="020B0604030504040204" pitchFamily="34" charset="-120"/>
              <a:cs typeface="Courier New" panose="02070309020205020404" pitchFamily="49" charset="0"/>
            </a:endParaRPr>
          </a:p>
        </xdr:txBody>
      </xdr:sp>
      <xdr:grpSp>
        <xdr:nvGrpSpPr>
          <xdr:cNvPr id="269" name="群組 268">
            <a:extLst>
              <a:ext uri="{FF2B5EF4-FFF2-40B4-BE49-F238E27FC236}">
                <a16:creationId xmlns:a16="http://schemas.microsoft.com/office/drawing/2014/main" id="{37527305-6134-452A-8E72-EC503505A6ED}"/>
              </a:ext>
            </a:extLst>
          </xdr:cNvPr>
          <xdr:cNvGrpSpPr/>
        </xdr:nvGrpSpPr>
        <xdr:grpSpPr>
          <a:xfrm>
            <a:off x="4248150" y="4524375"/>
            <a:ext cx="1352550" cy="777167"/>
            <a:chOff x="4248150" y="4524375"/>
            <a:chExt cx="1352550" cy="777167"/>
          </a:xfrm>
        </xdr:grpSpPr>
        <xdr:sp macro="" textlink="">
          <xdr:nvSpPr>
            <xdr:cNvPr id="273" name="公式上方大括弧">
              <a:extLst>
                <a:ext uri="{FF2B5EF4-FFF2-40B4-BE49-F238E27FC236}">
                  <a16:creationId xmlns:a16="http://schemas.microsoft.com/office/drawing/2014/main" id="{36B585B0-0CA8-40C9-B8A4-354751F708F4}"/>
                </a:ext>
              </a:extLst>
            </xdr:cNvPr>
            <xdr:cNvSpPr/>
          </xdr:nvSpPr>
          <xdr:spPr>
            <a:xfrm rot="5400000">
              <a:off x="4674786" y="4518504"/>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4" name="文字_公式上方圖說文字" descr="您要查看哪個範圍？&#10;">
              <a:extLst>
                <a:ext uri="{FF2B5EF4-FFF2-40B4-BE49-F238E27FC236}">
                  <a16:creationId xmlns:a16="http://schemas.microsoft.com/office/drawing/2014/main" id="{34D80480-D101-45AC-B9CF-78D23DC421E6}"/>
                </a:ext>
              </a:extLst>
            </xdr:cNvPr>
            <xdr:cNvSpPr txBox="1">
              <a:spLocks noChangeArrowheads="1"/>
            </xdr:cNvSpPr>
          </xdr:nvSpPr>
          <xdr:spPr bwMode="auto">
            <a:xfrm>
              <a:off x="4248150" y="4524375"/>
              <a:ext cx="1352550" cy="35301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您要查看哪個範圍？</a:t>
              </a:r>
            </a:p>
          </xdr:txBody>
        </xdr:sp>
      </xdr:grpSp>
      <xdr:grpSp>
        <xdr:nvGrpSpPr>
          <xdr:cNvPr id="270" name="群組 269">
            <a:extLst>
              <a:ext uri="{FF2B5EF4-FFF2-40B4-BE49-F238E27FC236}">
                <a16:creationId xmlns:a16="http://schemas.microsoft.com/office/drawing/2014/main" id="{2CCDD87F-488A-4F59-94B0-9890040AE4A5}"/>
              </a:ext>
            </a:extLst>
          </xdr:cNvPr>
          <xdr:cNvGrpSpPr/>
        </xdr:nvGrpSpPr>
        <xdr:grpSpPr>
          <a:xfrm>
            <a:off x="4638676" y="5535503"/>
            <a:ext cx="2171700" cy="705437"/>
            <a:chOff x="4638676" y="5535503"/>
            <a:chExt cx="2171700" cy="705437"/>
          </a:xfrm>
        </xdr:grpSpPr>
        <xdr:sp macro="" textlink="">
          <xdr:nvSpPr>
            <xdr:cNvPr id="271" name="公式下方大括弧">
              <a:extLst>
                <a:ext uri="{FF2B5EF4-FFF2-40B4-BE49-F238E27FC236}">
                  <a16:creationId xmlns:a16="http://schemas.microsoft.com/office/drawing/2014/main" id="{A61DA540-4BFA-41A7-A504-CCFAB774EC94}"/>
                </a:ext>
              </a:extLst>
            </xdr:cNvPr>
            <xdr:cNvSpPr/>
          </xdr:nvSpPr>
          <xdr:spPr>
            <a:xfrm rot="16200000">
              <a:off x="5636813" y="553749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2" name="文字_公式下方圖說文字" descr="您要尋找哪個值 (文字或數值)？&#10;">
              <a:extLst>
                <a:ext uri="{FF2B5EF4-FFF2-40B4-BE49-F238E27FC236}">
                  <a16:creationId xmlns:a16="http://schemas.microsoft.com/office/drawing/2014/main" id="{73BBFD57-E525-4CF9-A6E9-242691515557}"/>
                </a:ext>
              </a:extLst>
            </xdr:cNvPr>
            <xdr:cNvSpPr txBox="1">
              <a:spLocks noChangeArrowheads="1"/>
            </xdr:cNvSpPr>
          </xdr:nvSpPr>
          <xdr:spPr bwMode="auto">
            <a:xfrm>
              <a:off x="4638676" y="5887930"/>
              <a:ext cx="2171700" cy="35301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您要尋找哪個值 (文字或數值)？</a:t>
              </a:r>
            </a:p>
          </xdr:txBody>
        </xdr:sp>
      </xdr:grpSp>
    </xdr:grpSp>
    <xdr:clientData/>
  </xdr:twoCellAnchor>
  <xdr:twoCellAnchor>
    <xdr:from>
      <xdr:col>0</xdr:col>
      <xdr:colOff>619125</xdr:colOff>
      <xdr:row>69</xdr:row>
      <xdr:rowOff>57116</xdr:rowOff>
    </xdr:from>
    <xdr:to>
      <xdr:col>1</xdr:col>
      <xdr:colOff>5061972</xdr:colOff>
      <xdr:row>80</xdr:row>
      <xdr:rowOff>53363</xdr:rowOff>
    </xdr:to>
    <xdr:grpSp>
      <xdr:nvGrpSpPr>
        <xdr:cNvPr id="275" name="群組 274">
          <a:extLst>
            <a:ext uri="{FF2B5EF4-FFF2-40B4-BE49-F238E27FC236}">
              <a16:creationId xmlns:a16="http://schemas.microsoft.com/office/drawing/2014/main" id="{847274C0-AC26-4344-B2CE-53D60DDD0425}"/>
            </a:ext>
          </a:extLst>
        </xdr:cNvPr>
        <xdr:cNvGrpSpPr/>
      </xdr:nvGrpSpPr>
      <xdr:grpSpPr>
        <a:xfrm>
          <a:off x="619125" y="13811216"/>
          <a:ext cx="5538222" cy="2091747"/>
          <a:chOff x="638175" y="14076944"/>
          <a:chExt cx="5267326" cy="2122628"/>
        </a:xfrm>
      </xdr:grpSpPr>
      <xdr:sp macro="" textlink="">
        <xdr:nvSpPr>
          <xdr:cNvPr id="276" name="公式下方大括弧">
            <a:extLst>
              <a:ext uri="{FF2B5EF4-FFF2-40B4-BE49-F238E27FC236}">
                <a16:creationId xmlns:a16="http://schemas.microsoft.com/office/drawing/2014/main" id="{97A01290-7C21-4B89-985F-9ACD27071CF1}"/>
              </a:ext>
            </a:extLst>
          </xdr:cNvPr>
          <xdr:cNvSpPr/>
        </xdr:nvSpPr>
        <xdr:spPr>
          <a:xfrm rot="16200000">
            <a:off x="4957480"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7" name="公式下方大括弧">
            <a:extLst>
              <a:ext uri="{FF2B5EF4-FFF2-40B4-BE49-F238E27FC236}">
                <a16:creationId xmlns:a16="http://schemas.microsoft.com/office/drawing/2014/main" id="{FBA8E8F9-1C1F-46A9-819E-ED4261288C76}"/>
              </a:ext>
            </a:extLst>
          </xdr:cNvPr>
          <xdr:cNvSpPr/>
        </xdr:nvSpPr>
        <xdr:spPr>
          <a:xfrm rot="16200000">
            <a:off x="3230927" y="15268661"/>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rtl="0"/>
            <a:endParaRPr lang="en-US" sz="1100">
              <a:solidFill>
                <a:schemeClr val="tx1"/>
              </a:solidFill>
              <a:latin typeface="+mn-lt"/>
              <a:ea typeface="+mn-ea"/>
              <a:cs typeface="+mn-cs"/>
            </a:endParaRPr>
          </a:p>
        </xdr:txBody>
      </xdr:sp>
      <xdr:sp macro="" textlink="">
        <xdr:nvSpPr>
          <xdr:cNvPr id="278" name="公式上方大括弧">
            <a:extLst>
              <a:ext uri="{FF2B5EF4-FFF2-40B4-BE49-F238E27FC236}">
                <a16:creationId xmlns:a16="http://schemas.microsoft.com/office/drawing/2014/main" id="{44603805-5C4E-4370-B762-A5B53406A8B3}"/>
              </a:ext>
            </a:extLst>
          </xdr:cNvPr>
          <xdr:cNvSpPr/>
        </xdr:nvSpPr>
        <xdr:spPr>
          <a:xfrm rot="5400000">
            <a:off x="4103371" y="14236019"/>
            <a:ext cx="495146" cy="106173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79" name="公式上方大括弧">
            <a:extLst>
              <a:ext uri="{FF2B5EF4-FFF2-40B4-BE49-F238E27FC236}">
                <a16:creationId xmlns:a16="http://schemas.microsoft.com/office/drawing/2014/main" id="{02E6B0A4-8693-43A2-A27C-ECA0F01F93E4}"/>
              </a:ext>
            </a:extLst>
          </xdr:cNvPr>
          <xdr:cNvSpPr/>
        </xdr:nvSpPr>
        <xdr:spPr>
          <a:xfrm rot="5400000">
            <a:off x="2340848"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p>
        </xdr:txBody>
      </xdr:sp>
      <xdr:sp macro="" textlink="">
        <xdr:nvSpPr>
          <xdr:cNvPr id="280" name="文字_公式"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3320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zh-tw" sz="2000">
                <a:solidFill>
                  <a:srgbClr val="000000"/>
                </a:solidFill>
                <a:effectLst/>
                <a:latin typeface="Courier New" panose="02070309020205020404" pitchFamily="49" charset="0"/>
                <a:ea typeface="Microsoft JhengHei UI" panose="020B0604030504040204" pitchFamily="34" charset="-120"/>
                <a:cs typeface="Courier New" panose="02070309020205020404" pitchFamily="49" charset="0"/>
              </a:rPr>
              <a:t>=COUNTIFS(F50:F61,F64,G50:G61,G64)</a:t>
            </a:r>
            <a:endParaRPr lang="en-US" sz="2000">
              <a:effectLst/>
              <a:latin typeface="Courier New" panose="02070309020205020404" pitchFamily="49" charset="0"/>
              <a:ea typeface="Microsoft JhengHei UI" panose="020B0604030504040204" pitchFamily="34" charset="-120"/>
              <a:cs typeface="Courier New" panose="02070309020205020404" pitchFamily="49" charset="0"/>
            </a:endParaRPr>
          </a:p>
        </xdr:txBody>
      </xdr:sp>
      <xdr:sp macro="" textlink="">
        <xdr:nvSpPr>
          <xdr:cNvPr id="281" name="文字_公式上方圖說文字" descr="這是要計算的第一個範圍&#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032776" y="14076944"/>
            <a:ext cx="1111288" cy="5845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這是執行計數的第一個範圍</a:t>
            </a:r>
          </a:p>
        </xdr:txBody>
      </xdr:sp>
      <xdr:sp macro="" textlink="">
        <xdr:nvSpPr>
          <xdr:cNvPr id="282" name="文字_公式上方圖說文字" descr="這是要計算的第二個範圍&#10;">
            <a:extLst>
              <a:ext uri="{FF2B5EF4-FFF2-40B4-BE49-F238E27FC236}">
                <a16:creationId xmlns:a16="http://schemas.microsoft.com/office/drawing/2014/main" id="{11EE695F-0D8C-4F27-9607-875A146520A9}"/>
              </a:ext>
            </a:extLst>
          </xdr:cNvPr>
          <xdr:cNvSpPr txBox="1">
            <a:spLocks noChangeArrowheads="1"/>
          </xdr:cNvSpPr>
        </xdr:nvSpPr>
        <xdr:spPr bwMode="auto">
          <a:xfrm>
            <a:off x="3741771" y="14076944"/>
            <a:ext cx="1218346" cy="5845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zh-tw" sz="1100">
                <a:effectLst/>
                <a:latin typeface="Microsoft JhengHei UI" panose="020B0604030504040204" pitchFamily="34" charset="-120"/>
                <a:ea typeface="Microsoft JhengHei UI" panose="020B0604030504040204" pitchFamily="34" charset="-120"/>
                <a:cs typeface="+mn-cs"/>
              </a:rPr>
              <a:t>這是執行計數的第二個範圍</a:t>
            </a:r>
            <a:endParaRPr lang="en-US">
              <a:effectLst/>
              <a:latin typeface="Microsoft JhengHei UI" panose="020B0604030504040204" pitchFamily="34" charset="-120"/>
              <a:ea typeface="Microsoft JhengHei UI" panose="020B0604030504040204" pitchFamily="34" charset="-120"/>
            </a:endParaRPr>
          </a:p>
        </xdr:txBody>
      </xdr:sp>
      <xdr:sp macro="" textlink="">
        <xdr:nvSpPr>
          <xdr:cNvPr id="283" name="文字_公式下方圖說文字" descr="這是第一個相符項目的準則&#10;&#10;">
            <a:extLst>
              <a:ext uri="{FF2B5EF4-FFF2-40B4-BE49-F238E27FC236}">
                <a16:creationId xmlns:a16="http://schemas.microsoft.com/office/drawing/2014/main" id="{CA955A6F-F900-4254-A38C-2B84B32EF341}"/>
              </a:ext>
            </a:extLst>
          </xdr:cNvPr>
          <xdr:cNvSpPr txBox="1">
            <a:spLocks noChangeArrowheads="1"/>
          </xdr:cNvSpPr>
        </xdr:nvSpPr>
        <xdr:spPr bwMode="auto">
          <a:xfrm>
            <a:off x="2871026" y="15615069"/>
            <a:ext cx="1214947" cy="5845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rtl="0"/>
            <a:r>
              <a:rPr lang="zh-tw" sz="1100">
                <a:effectLst/>
                <a:latin typeface="Microsoft JhengHei UI" panose="020B0604030504040204" pitchFamily="34" charset="-120"/>
                <a:ea typeface="Microsoft JhengHei UI" panose="020B0604030504040204" pitchFamily="34" charset="-120"/>
                <a:cs typeface="+mn-cs"/>
              </a:rPr>
              <a:t>這是第一個相符的準則</a:t>
            </a:r>
            <a:endParaRPr lang="en-US">
              <a:effectLst/>
              <a:latin typeface="Microsoft JhengHei UI" panose="020B0604030504040204" pitchFamily="34" charset="-120"/>
              <a:ea typeface="Microsoft JhengHei UI" panose="020B0604030504040204" pitchFamily="34" charset="-120"/>
            </a:endParaRPr>
          </a:p>
        </xdr:txBody>
      </xdr:sp>
      <xdr:sp macro="" textlink="">
        <xdr:nvSpPr>
          <xdr:cNvPr id="284" name="文字_公式下方圖說文字" descr="這是第二個相符項目的準則&#10;">
            <a:extLst>
              <a:ext uri="{FF2B5EF4-FFF2-40B4-BE49-F238E27FC236}">
                <a16:creationId xmlns:a16="http://schemas.microsoft.com/office/drawing/2014/main" id="{838EB08C-21C3-4C95-9A03-F7C12DFF31CD}"/>
              </a:ext>
            </a:extLst>
          </xdr:cNvPr>
          <xdr:cNvSpPr txBox="1">
            <a:spLocks noChangeArrowheads="1"/>
          </xdr:cNvSpPr>
        </xdr:nvSpPr>
        <xdr:spPr bwMode="auto">
          <a:xfrm>
            <a:off x="4596251" y="15615069"/>
            <a:ext cx="1214947" cy="5845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indent="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這是</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第二個相符的準則</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更多詳細資料] 按鈕" descr="向下瀏覽以取得更多詳細資料">
          <a:hlinkClick xmlns:r="http://schemas.openxmlformats.org/officeDocument/2006/relationships" r:id="rId22"/>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lientData/>
  </xdr:twoCellAnchor>
  <xdr:twoCellAnchor>
    <xdr:from>
      <xdr:col>0</xdr:col>
      <xdr:colOff>619125</xdr:colOff>
      <xdr:row>111</xdr:row>
      <xdr:rowOff>0</xdr:rowOff>
    </xdr:from>
    <xdr:to>
      <xdr:col>1</xdr:col>
      <xdr:colOff>2494467</xdr:colOff>
      <xdr:row>113</xdr:row>
      <xdr:rowOff>149924</xdr:rowOff>
    </xdr:to>
    <xdr:sp macro="" textlink="">
      <xdr:nvSpPr>
        <xdr:cNvPr id="131" name="[更多詳細資料] 按鈕" descr="向下瀏覽以取得更多詳細資料">
          <a:hlinkClick xmlns:r="http://schemas.openxmlformats.org/officeDocument/2006/relationships" r:id="rId23"/>
          <a:extLst>
            <a:ext uri="{FF2B5EF4-FFF2-40B4-BE49-F238E27FC236}">
              <a16:creationId xmlns:a16="http://schemas.microsoft.com/office/drawing/2014/main" id="{E4939BBA-49B2-4BFB-A7CF-F0BF2534CA19}"/>
            </a:ext>
          </a:extLst>
        </xdr:cNvPr>
        <xdr:cNvSpPr/>
      </xdr:nvSpPr>
      <xdr:spPr>
        <a:xfrm>
          <a:off x="619125" y="21755100"/>
          <a:ext cx="297071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727075</xdr:colOff>
      <xdr:row>10</xdr:row>
      <xdr:rowOff>9525</xdr:rowOff>
    </xdr:from>
    <xdr:to>
      <xdr:col>6</xdr:col>
      <xdr:colOff>19050</xdr:colOff>
      <xdr:row>19</xdr:row>
      <xdr:rowOff>2128</xdr:rowOff>
    </xdr:to>
    <xdr:grpSp>
      <xdr:nvGrpSpPr>
        <xdr:cNvPr id="76" name="立即查看" descr="立即查看&#10;&#10;">
          <a:extLst>
            <a:ext uri="{FF2B5EF4-FFF2-40B4-BE49-F238E27FC236}">
              <a16:creationId xmlns:a16="http://schemas.microsoft.com/office/drawing/2014/main" id="{16122225-CAAD-44E9-BB30-7B1C9C3D2195}"/>
            </a:ext>
          </a:extLst>
        </xdr:cNvPr>
        <xdr:cNvGrpSpPr/>
      </xdr:nvGrpSpPr>
      <xdr:grpSpPr>
        <a:xfrm>
          <a:off x="7318375" y="2505075"/>
          <a:ext cx="2873375" cy="1716628"/>
          <a:chOff x="7830674" y="7686975"/>
          <a:chExt cx="2476379" cy="1716628"/>
        </a:xfrm>
      </xdr:grpSpPr>
      <xdr:grpSp>
        <xdr:nvGrpSpPr>
          <xdr:cNvPr id="77" name="括號行">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另一個括號行" descr="括號行">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81" name="括號行" descr="括號行&#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grpSp>
      <xdr:pic>
        <xdr:nvPicPr>
          <xdr:cNvPr id="78" name="星星" descr="星星">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說明"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立即查看</a:t>
            </a:r>
          </a:p>
          <a:p>
            <a:pPr lvl="0" rtl="0">
              <a:defRPr/>
            </a:pPr>
            <a:r>
              <a:rPr lang="zh-tw" sz="1100" kern="0">
                <a:solidFill>
                  <a:schemeClr val="bg2">
                    <a:lumMod val="25000"/>
                  </a:schemeClr>
                </a:solidFill>
                <a:latin typeface="+mn-lt"/>
                <a:ea typeface="Microsoft JhengHei UI" panose="020B0604030504040204" pitchFamily="34" charset="-120"/>
                <a:cs typeface="Segoe UI Light" panose="020B0502040204020203" pitchFamily="34" charset="0"/>
              </a:rPr>
              <a:t>最後應該顯示 </a:t>
            </a:r>
            <a:r>
              <a:rPr lang="zh-tw" sz="1100" b="1" kern="0">
                <a:solidFill>
                  <a:schemeClr val="bg2">
                    <a:lumMod val="25000"/>
                  </a:schemeClr>
                </a:solidFill>
                <a:latin typeface="+mn-lt"/>
                <a:ea typeface="Microsoft JhengHei UI" panose="020B0604030504040204" pitchFamily="34" charset="-120"/>
                <a:cs typeface="Segoe UI Light" panose="020B0502040204020203" pitchFamily="34" charset="0"/>
              </a:rPr>
              <a:t>=VLOOKUP(C10,C5:D8,2,FALSE)</a:t>
            </a:r>
            <a:endParaRPr lang="en-US" sz="1100" b="1">
              <a:solidFill>
                <a:schemeClr val="bg2">
                  <a:lumMod val="25000"/>
                </a:schemeClr>
              </a:solidFill>
              <a:latin typeface="+mn-lt"/>
              <a:ea typeface="Microsoft JhengHei UI" panose="020B0604030504040204" pitchFamily="34" charset="-12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48</xdr:row>
      <xdr:rowOff>161925</xdr:rowOff>
    </xdr:to>
    <xdr:grpSp>
      <xdr:nvGrpSpPr>
        <xdr:cNvPr id="82" name="群組 81">
          <a:extLst>
            <a:ext uri="{FF2B5EF4-FFF2-40B4-BE49-F238E27FC236}">
              <a16:creationId xmlns:a16="http://schemas.microsoft.com/office/drawing/2014/main" id="{1015345F-A070-4EDE-8224-DC487667438E}"/>
            </a:ext>
          </a:extLst>
        </xdr:cNvPr>
        <xdr:cNvGrpSpPr/>
      </xdr:nvGrpSpPr>
      <xdr:grpSpPr>
        <a:xfrm>
          <a:off x="352425" y="7239000"/>
          <a:ext cx="5990463" cy="2667000"/>
          <a:chOff x="352425" y="10715625"/>
          <a:chExt cx="5733288" cy="2390775"/>
        </a:xfrm>
      </xdr:grpSpPr>
      <xdr:sp macro="" textlink="">
        <xdr:nvSpPr>
          <xdr:cNvPr id="83" name="矩形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4" name="步驟" descr="更多網路上的資訊&#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Web 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85" name="直線接點 84" descr="裝飾線條">
            <a:extLst>
              <a:ext uri="{FF2B5EF4-FFF2-40B4-BE49-F238E27FC236}">
                <a16:creationId xmlns:a16="http://schemas.microsoft.com/office/drawing/2014/main" id="{123ED04E-B6E8-457B-8D55-39D8FD68B6AD}"/>
              </a:ext>
            </a:extLst>
          </xdr:cNvPr>
          <xdr:cNvCxnSpPr>
            <a:cxnSpLocks/>
          </xdr:cNvCxnSpPr>
        </xdr:nvCxnSpPr>
        <xdr:spPr>
          <a:xfrm>
            <a:off x="563457" y="11291551"/>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直線接點 85" descr="裝飾線條">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38</xdr:row>
      <xdr:rowOff>168994</xdr:rowOff>
    </xdr:from>
    <xdr:to>
      <xdr:col>1</xdr:col>
      <xdr:colOff>2562225</xdr:colOff>
      <xdr:row>40</xdr:row>
      <xdr:rowOff>147073</xdr:rowOff>
    </xdr:to>
    <xdr:grpSp>
      <xdr:nvGrpSpPr>
        <xdr:cNvPr id="5" name="群組 4">
          <a:extLst>
            <a:ext uri="{FF2B5EF4-FFF2-40B4-BE49-F238E27FC236}">
              <a16:creationId xmlns:a16="http://schemas.microsoft.com/office/drawing/2014/main" id="{82632918-520D-4E51-9E28-E3DEB82D9A91}"/>
            </a:ext>
          </a:extLst>
        </xdr:cNvPr>
        <xdr:cNvGrpSpPr/>
      </xdr:nvGrpSpPr>
      <xdr:grpSpPr>
        <a:xfrm>
          <a:off x="562406" y="8008069"/>
          <a:ext cx="3123769" cy="359079"/>
          <a:chOff x="562406" y="11008444"/>
          <a:chExt cx="2866594" cy="359079"/>
        </a:xfrm>
      </xdr:grpSpPr>
      <xdr:sp macro="" textlink="">
        <xdr:nvSpPr>
          <xdr:cNvPr id="87" name="步驟" descr="深入了解 IF 函數，附有移至網路的超連結&#10;&#10;">
            <a:hlinkClick xmlns:r="http://schemas.openxmlformats.org/officeDocument/2006/relationships" r:id="rId3" tooltip="選取以在網路上深入了解 Excel 中的公式"/>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Excel 中的公式</a:t>
            </a:r>
            <a:endPar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88" name="圖形 22" descr="箭號">
            <a:hlinkClick xmlns:r="http://schemas.openxmlformats.org/officeDocument/2006/relationships" r:id="rId3" tooltip="選取以從網路深入了解"/>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40</xdr:row>
      <xdr:rowOff>163060</xdr:rowOff>
    </xdr:from>
    <xdr:to>
      <xdr:col>1</xdr:col>
      <xdr:colOff>2590800</xdr:colOff>
      <xdr:row>42</xdr:row>
      <xdr:rowOff>146449</xdr:rowOff>
    </xdr:to>
    <xdr:grpSp>
      <xdr:nvGrpSpPr>
        <xdr:cNvPr id="4" name="群組 3">
          <a:extLst>
            <a:ext uri="{FF2B5EF4-FFF2-40B4-BE49-F238E27FC236}">
              <a16:creationId xmlns:a16="http://schemas.microsoft.com/office/drawing/2014/main" id="{98FAF5DD-EE61-45C8-981A-2D0D0E97F1D8}"/>
            </a:ext>
          </a:extLst>
        </xdr:cNvPr>
        <xdr:cNvGrpSpPr/>
      </xdr:nvGrpSpPr>
      <xdr:grpSpPr>
        <a:xfrm>
          <a:off x="562406" y="8383135"/>
          <a:ext cx="3152344" cy="364389"/>
          <a:chOff x="562406" y="11383510"/>
          <a:chExt cx="2895169" cy="364389"/>
        </a:xfrm>
      </xdr:grpSpPr>
      <xdr:sp macro="" textlink="">
        <xdr:nvSpPr>
          <xdr:cNvPr id="89" name="步驟" descr="深入了解 IFS 函數，附有移至網路的超連結&#10;">
            <a:hlinkClick xmlns:r="http://schemas.openxmlformats.org/officeDocument/2006/relationships" r:id="rId6" tooltip="選取以在網路上查看所有 Excel 的函數 (依類別)"/>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Excel 函數 (依</a:t>
            </a:r>
            <a:r>
              <a:rPr lang="zh-tw" sz="1100" u="sng"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類別</a:t>
            </a:r>
            <a:r>
              <a:rPr lang="en-US" altLang="zh-TW" sz="1100" u="sng"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endPar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90" name="圖形 22" descr="箭號">
            <a:hlinkClick xmlns:r="http://schemas.openxmlformats.org/officeDocument/2006/relationships" r:id="rId6" tooltip="選取以從網路深入了解"/>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45</xdr:row>
      <xdr:rowOff>3478</xdr:rowOff>
    </xdr:from>
    <xdr:to>
      <xdr:col>1</xdr:col>
      <xdr:colOff>2212267</xdr:colOff>
      <xdr:row>46</xdr:row>
      <xdr:rowOff>177367</xdr:rowOff>
    </xdr:to>
    <xdr:grpSp>
      <xdr:nvGrpSpPr>
        <xdr:cNvPr id="2" name="群組 1">
          <a:extLst>
            <a:ext uri="{FF2B5EF4-FFF2-40B4-BE49-F238E27FC236}">
              <a16:creationId xmlns:a16="http://schemas.microsoft.com/office/drawing/2014/main" id="{2F82E782-5C9A-405F-90E2-13AE28FFFCBD}"/>
            </a:ext>
          </a:extLst>
        </xdr:cNvPr>
        <xdr:cNvGrpSpPr/>
      </xdr:nvGrpSpPr>
      <xdr:grpSpPr>
        <a:xfrm>
          <a:off x="562406" y="9176053"/>
          <a:ext cx="2773811" cy="364389"/>
          <a:chOff x="562406" y="12176428"/>
          <a:chExt cx="2516636" cy="364389"/>
        </a:xfrm>
      </xdr:grpSpPr>
      <xdr:sp macro="" textlink="">
        <xdr:nvSpPr>
          <xdr:cNvPr id="91" name="步驟" descr="免費的 Excel 線上訓練，附有移至網路的超連結&#10;">
            <a:hlinkClick xmlns:r="http://schemas.openxmlformats.org/officeDocument/2006/relationships" r:id="rId7" tooltip="選取以了解網路上免費的 Excel 訓練"/>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免費的 Excel 線上訓練</a:t>
            </a:r>
          </a:p>
        </xdr:txBody>
      </xdr:sp>
      <xdr:pic>
        <xdr:nvPicPr>
          <xdr:cNvPr id="92" name="圖形 22" descr="箭號">
            <a:hlinkClick xmlns:r="http://schemas.openxmlformats.org/officeDocument/2006/relationships" r:id="rId7" tooltip="選取以從網路深入了解"/>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42</xdr:row>
      <xdr:rowOff>162436</xdr:rowOff>
    </xdr:from>
    <xdr:to>
      <xdr:col>1</xdr:col>
      <xdr:colOff>2590800</xdr:colOff>
      <xdr:row>44</xdr:row>
      <xdr:rowOff>145825</xdr:rowOff>
    </xdr:to>
    <xdr:grpSp>
      <xdr:nvGrpSpPr>
        <xdr:cNvPr id="3" name="群組 2">
          <a:extLst>
            <a:ext uri="{FF2B5EF4-FFF2-40B4-BE49-F238E27FC236}">
              <a16:creationId xmlns:a16="http://schemas.microsoft.com/office/drawing/2014/main" id="{F4AC7FE3-2FB4-4A3F-8F6D-E41D0BF24478}"/>
            </a:ext>
          </a:extLst>
        </xdr:cNvPr>
        <xdr:cNvGrpSpPr/>
      </xdr:nvGrpSpPr>
      <xdr:grpSpPr>
        <a:xfrm>
          <a:off x="562406" y="8763511"/>
          <a:ext cx="3152344" cy="364389"/>
          <a:chOff x="562406" y="11763886"/>
          <a:chExt cx="2895169" cy="364389"/>
        </a:xfrm>
      </xdr:grpSpPr>
      <xdr:sp macro="" textlink="">
        <xdr:nvSpPr>
          <xdr:cNvPr id="93" name="步驟" descr="進階 IF 陳述式，附有移至網路的超連結&#10;">
            <a:hlinkClick xmlns:r="http://schemas.openxmlformats.org/officeDocument/2006/relationships" r:id="rId8" tooltip="選取以在網路上查看所有 Excel 的函數 (依字母順序)"/>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Excel 函數 (按字母順序)</a:t>
            </a:r>
          </a:p>
        </xdr:txBody>
      </xdr:sp>
      <xdr:pic>
        <xdr:nvPicPr>
          <xdr:cNvPr id="94" name="圖形 22" descr="箭號">
            <a:hlinkClick xmlns:r="http://schemas.openxmlformats.org/officeDocument/2006/relationships" r:id="rId8" tooltip="選取以從網路深入了解"/>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5218938</xdr:colOff>
      <xdr:row>34</xdr:row>
      <xdr:rowOff>66675</xdr:rowOff>
    </xdr:to>
    <xdr:sp macro="" textlink="">
      <xdr:nvSpPr>
        <xdr:cNvPr id="62" name="文字_導覽背景" descr="背景​​">
          <a:extLst>
            <a:ext uri="{FF2B5EF4-FFF2-40B4-BE49-F238E27FC236}">
              <a16:creationId xmlns:a16="http://schemas.microsoft.com/office/drawing/2014/main" id="{9C42B660-A3B5-4F00-8B62-1A2BC85EB46D}"/>
            </a:ext>
          </a:extLst>
        </xdr:cNvPr>
        <xdr:cNvSpPr/>
      </xdr:nvSpPr>
      <xdr:spPr>
        <a:xfrm>
          <a:off x="352425" y="352425"/>
          <a:ext cx="5733288" cy="67913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567653</xdr:colOff>
      <xdr:row>0</xdr:row>
      <xdr:rowOff>490010</xdr:rowOff>
    </xdr:from>
    <xdr:to>
      <xdr:col>1</xdr:col>
      <xdr:colOff>4866359</xdr:colOff>
      <xdr:row>2</xdr:row>
      <xdr:rowOff>15411</xdr:rowOff>
    </xdr:to>
    <xdr:sp macro="" textlink="">
      <xdr:nvSpPr>
        <xdr:cNvPr id="63" name="文字_導覽標頭" descr="讓函數精靈引導您">
          <a:extLst>
            <a:ext uri="{FF2B5EF4-FFF2-40B4-BE49-F238E27FC236}">
              <a16:creationId xmlns:a16="http://schemas.microsoft.com/office/drawing/2014/main" id="{83AD9D65-6832-4C8D-9DD3-D366BF3EAA96}"/>
            </a:ext>
          </a:extLst>
        </xdr:cNvPr>
        <xdr:cNvSpPr txBox="1"/>
      </xdr:nvSpPr>
      <xdr:spPr>
        <a:xfrm>
          <a:off x="567653" y="490010"/>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讓函數精靈引導您</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文字_導覽線條1" descr="裝飾線條">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文字_導覽線條2" descr="裝飾線條">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文字_導覽簡介" descr="如果您知道想要的函數名稱，但不確定如何建立函數，可以使用函數精靈來協助您。">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如果您知道想要的函數名稱，但您不確定如何建立函數，您可以使用函數精靈來協助您。</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xdr:twoCellAnchor>
  <xdr:twoCellAnchor>
    <xdr:from>
      <xdr:col>0</xdr:col>
      <xdr:colOff>576262</xdr:colOff>
      <xdr:row>5</xdr:row>
      <xdr:rowOff>57141</xdr:rowOff>
    </xdr:from>
    <xdr:to>
      <xdr:col>1</xdr:col>
      <xdr:colOff>4943475</xdr:colOff>
      <xdr:row>10</xdr:row>
      <xdr:rowOff>19052</xdr:rowOff>
    </xdr:to>
    <xdr:grpSp>
      <xdr:nvGrpSpPr>
        <xdr:cNvPr id="67" name="圖形_步驟">
          <a:extLst>
            <a:ext uri="{FF2B5EF4-FFF2-40B4-BE49-F238E27FC236}">
              <a16:creationId xmlns:a16="http://schemas.microsoft.com/office/drawing/2014/main" id="{BD77C92C-5C36-46AE-A637-B10B8A476780}"/>
            </a:ext>
          </a:extLst>
        </xdr:cNvPr>
        <xdr:cNvGrpSpPr/>
      </xdr:nvGrpSpPr>
      <xdr:grpSpPr>
        <a:xfrm>
          <a:off x="576262" y="1581141"/>
          <a:ext cx="5491163" cy="933461"/>
          <a:chOff x="647700" y="7419975"/>
          <a:chExt cx="5326256" cy="893480"/>
        </a:xfrm>
      </xdr:grpSpPr>
      <xdr:sp macro="" textlink="">
        <xdr:nvSpPr>
          <xdr:cNvPr id="68" name="文字_步驟" descr="選取儲存格 D16，然後移至 [公式] &gt; [插入函數] &gt; 在 [搜尋函數] 方塊中輸入 VLOOKUP，然後按 [前往]。看到 VLOOKUP 醒目提示時，按一下底部的 [確定]。在清單中選取函數後，Excel 即會顯示它的語法。&#10;">
            <a:extLst>
              <a:ext uri="{FF2B5EF4-FFF2-40B4-BE49-F238E27FC236}">
                <a16:creationId xmlns:a16="http://schemas.microsoft.com/office/drawing/2014/main" id="{0532D680-62D3-49C1-A9FC-9F775854E3A9}"/>
              </a:ext>
            </a:extLst>
          </xdr:cNvPr>
          <xdr:cNvSpPr txBox="1"/>
        </xdr:nvSpPr>
        <xdr:spPr>
          <a:xfrm>
            <a:off x="1079356" y="7459922"/>
            <a:ext cx="4894600" cy="853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選取儲存格 D10，然後移至 </a:t>
            </a:r>
            <a:r>
              <a:rPr lang="zh-tw" sz="1100" b="1"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[公式]</a:t>
            </a:r>
            <a:r>
              <a:rPr lang="zh-tw" sz="1100" b="0"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[插入函數]</a:t>
            </a:r>
            <a:r>
              <a:rPr lang="zh-tw" sz="1100" b="0"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 &gt; 在 </a:t>
            </a:r>
            <a:r>
              <a:rPr lang="zh-tw" sz="1100" b="1"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[搜尋函數]</a:t>
            </a:r>
            <a:r>
              <a:rPr lang="zh-tw" sz="1100" b="0" i="0" u="none" strike="noStrike" kern="120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 方塊</a:t>
            </a:r>
            <a:r>
              <a:rPr lang="zh-tw" sz="1100" b="0"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中輸入 </a:t>
            </a:r>
            <a:r>
              <a:rPr lang="zh-tw" sz="1100" b="1"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VLOOKUP</a:t>
            </a:r>
            <a:r>
              <a:rPr lang="zh-tw" sz="1100" b="0"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，再按 </a:t>
            </a:r>
            <a:r>
              <a:rPr lang="zh-tw" sz="1100" b="1"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[開始]</a:t>
            </a:r>
            <a:r>
              <a:rPr lang="zh-tw" sz="1100" b="0"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。當您看到 </a:t>
            </a:r>
            <a:r>
              <a:rPr lang="zh-tw" sz="1100" b="1"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VLOOKUP</a:t>
            </a:r>
            <a:r>
              <a:rPr lang="zh-tw" sz="1100" b="0"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 強調顯示時，請按一下底部的 </a:t>
            </a:r>
            <a:r>
              <a:rPr lang="zh-tw" sz="1100" b="1"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[確定]</a:t>
            </a:r>
            <a:r>
              <a:rPr lang="zh-tw" sz="1100" b="0" i="0" u="none" strike="noStrike"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當您選取</a:t>
            </a:r>
            <a:r>
              <a:rPr lang="zh-tw" sz="11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清單中的函數時，Excel 會顯示其語法。</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69" name="圖案_步驟" descr="1">
            <a:extLst>
              <a:ext uri="{FF2B5EF4-FFF2-40B4-BE49-F238E27FC236}">
                <a16:creationId xmlns:a16="http://schemas.microsoft.com/office/drawing/2014/main" id="{215648BB-0134-4C42-A6F9-AC13CE6B572C}"/>
              </a:ext>
            </a:extLst>
          </xdr:cNvPr>
          <xdr:cNvSpPr/>
        </xdr:nvSpPr>
        <xdr:spPr>
          <a:xfrm>
            <a:off x="647700" y="7419975"/>
            <a:ext cx="370140"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clientData/>
  </xdr:twoCellAnchor>
  <xdr:twoCellAnchor>
    <xdr:from>
      <xdr:col>0</xdr:col>
      <xdr:colOff>576262</xdr:colOff>
      <xdr:row>10</xdr:row>
      <xdr:rowOff>80962</xdr:rowOff>
    </xdr:from>
    <xdr:to>
      <xdr:col>1</xdr:col>
      <xdr:colOff>4905374</xdr:colOff>
      <xdr:row>15</xdr:row>
      <xdr:rowOff>9523</xdr:rowOff>
    </xdr:to>
    <xdr:grpSp>
      <xdr:nvGrpSpPr>
        <xdr:cNvPr id="71" name="圖形_步驟">
          <a:extLst>
            <a:ext uri="{FF2B5EF4-FFF2-40B4-BE49-F238E27FC236}">
              <a16:creationId xmlns:a16="http://schemas.microsoft.com/office/drawing/2014/main" id="{BF405A0F-7FA6-4E62-A4D2-D48FD5B37F21}"/>
            </a:ext>
          </a:extLst>
        </xdr:cNvPr>
        <xdr:cNvGrpSpPr/>
      </xdr:nvGrpSpPr>
      <xdr:grpSpPr>
        <a:xfrm>
          <a:off x="576262" y="2576512"/>
          <a:ext cx="5453062" cy="890586"/>
          <a:chOff x="609600" y="7810500"/>
          <a:chExt cx="5186234" cy="876582"/>
        </a:xfrm>
      </xdr:grpSpPr>
      <xdr:sp macro="" textlink="">
        <xdr:nvSpPr>
          <xdr:cNvPr id="72" name="文字_步驟"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834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接下來，在其個別的文字方塊中輸入函數引數。當您逐一輸入時，Excel 會進行評估，並顯示其結果，以及在底部顯示最終結果。完成時，請按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[確定]</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，而 Excel 會為您輸入公式。</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73" name="圖案_步驟"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798919</xdr:colOff>
      <xdr:row>33</xdr:row>
      <xdr:rowOff>83038</xdr:rowOff>
    </xdr:to>
    <xdr:sp macro="" textlink="">
      <xdr:nvSpPr>
        <xdr:cNvPr id="74" name="[上一個] 按鈕" descr="回到上一個工作表">
          <a:hlinkClick xmlns:r="http://schemas.openxmlformats.org/officeDocument/2006/relationships" r:id="rId9" tooltip="按一下這裡回到上一個工作表"/>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1</xdr:col>
      <xdr:colOff>3475085</xdr:colOff>
      <xdr:row>31</xdr:row>
      <xdr:rowOff>128589</xdr:rowOff>
    </xdr:from>
    <xdr:to>
      <xdr:col>1</xdr:col>
      <xdr:colOff>4750255</xdr:colOff>
      <xdr:row>33</xdr:row>
      <xdr:rowOff>83038</xdr:rowOff>
    </xdr:to>
    <xdr:sp macro="" textlink="">
      <xdr:nvSpPr>
        <xdr:cNvPr id="75" name="[下一個] 按鈕" descr="前往下一個工作表">
          <a:hlinkClick xmlns:r="http://schemas.openxmlformats.org/officeDocument/2006/relationships" r:id="rId10" tooltip="按一下這裡前往下一個工作表"/>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oneCell">
    <xdr:from>
      <xdr:col>1</xdr:col>
      <xdr:colOff>200025</xdr:colOff>
      <xdr:row>15</xdr:row>
      <xdr:rowOff>104775</xdr:rowOff>
    </xdr:from>
    <xdr:to>
      <xdr:col>1</xdr:col>
      <xdr:colOff>4514647</xdr:colOff>
      <xdr:row>29</xdr:row>
      <xdr:rowOff>11268</xdr:rowOff>
    </xdr:to>
    <xdr:pic>
      <xdr:nvPicPr>
        <xdr:cNvPr id="7" name="圖片 6" descr="VLOOKUP 函數的引數對話方塊">
          <a:extLst>
            <a:ext uri="{FF2B5EF4-FFF2-40B4-BE49-F238E27FC236}">
              <a16:creationId xmlns:a16="http://schemas.microsoft.com/office/drawing/2014/main" id="{C7EE5AD6-DE34-4A7F-A5A8-829E51443D1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xdr:blipFill>
      <xdr:spPr>
        <a:xfrm>
          <a:off x="1323975" y="3562350"/>
          <a:ext cx="4314622" cy="2573493"/>
        </a:xfrm>
        <a:prstGeom prst="rect">
          <a:avLst/>
        </a:prstGeom>
      </xdr:spPr>
    </xdr:pic>
    <xdr:clientData/>
  </xdr:twoCellAnchor>
  <xdr:twoCellAnchor>
    <xdr:from>
      <xdr:col>1</xdr:col>
      <xdr:colOff>1544364</xdr:colOff>
      <xdr:row>15</xdr:row>
      <xdr:rowOff>180679</xdr:rowOff>
    </xdr:from>
    <xdr:to>
      <xdr:col>6</xdr:col>
      <xdr:colOff>571500</xdr:colOff>
      <xdr:row>35</xdr:row>
      <xdr:rowOff>87187</xdr:rowOff>
    </xdr:to>
    <xdr:grpSp>
      <xdr:nvGrpSpPr>
        <xdr:cNvPr id="8" name="群組 7">
          <a:extLst>
            <a:ext uri="{FF2B5EF4-FFF2-40B4-BE49-F238E27FC236}">
              <a16:creationId xmlns:a16="http://schemas.microsoft.com/office/drawing/2014/main" id="{8F43BB86-459B-4A39-BF41-D15966065CB8}"/>
            </a:ext>
          </a:extLst>
        </xdr:cNvPr>
        <xdr:cNvGrpSpPr/>
      </xdr:nvGrpSpPr>
      <xdr:grpSpPr>
        <a:xfrm>
          <a:off x="2668314" y="3638254"/>
          <a:ext cx="8075886" cy="3716508"/>
          <a:chOff x="2411139" y="6952954"/>
          <a:chExt cx="7523436" cy="3716508"/>
        </a:xfrm>
      </xdr:grpSpPr>
      <xdr:grpSp>
        <xdr:nvGrpSpPr>
          <xdr:cNvPr id="96" name="群組 95">
            <a:extLst>
              <a:ext uri="{FF2B5EF4-FFF2-40B4-BE49-F238E27FC236}">
                <a16:creationId xmlns:a16="http://schemas.microsoft.com/office/drawing/2014/main" id="{577BB227-C2B4-49F0-A57F-186EA94E85EE}"/>
              </a:ext>
            </a:extLst>
          </xdr:cNvPr>
          <xdr:cNvGrpSpPr/>
        </xdr:nvGrpSpPr>
        <xdr:grpSpPr>
          <a:xfrm>
            <a:off x="2733674" y="6952954"/>
            <a:ext cx="6924676" cy="1721004"/>
            <a:chOff x="2895600" y="6567190"/>
            <a:chExt cx="6924676" cy="1721004"/>
          </a:xfrm>
        </xdr:grpSpPr>
        <xdr:grpSp>
          <xdr:nvGrpSpPr>
            <xdr:cNvPr id="97" name="不可不知" descr="不可不知&#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圖形 147" descr="眼鏡">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步驟"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您可以輸入儲存格和範圍參照，或使用滑鼠選取它們。</a:t>
                </a:r>
                <a:endParaRPr lang="en-US" sz="1100">
                  <a:effectLst/>
                  <a:latin typeface="+mn-lt"/>
                  <a:ea typeface="Microsoft JhengHei UI" panose="020B0604030504040204" pitchFamily="34" charset="-120"/>
                </a:endParaRPr>
              </a:p>
            </xdr:txBody>
          </xdr:sp>
        </xdr:grpSp>
        <xdr:cxnSp macro="">
          <xdr:nvCxnSpPr>
            <xdr:cNvPr id="98" name="連接器：弧形 97">
              <a:extLst>
                <a:ext uri="{FF2B5EF4-FFF2-40B4-BE49-F238E27FC236}">
                  <a16:creationId xmlns:a16="http://schemas.microsoft.com/office/drawing/2014/main" id="{0CC08E43-E456-4C6F-8248-9D4BC059339B}"/>
                </a:ext>
              </a:extLst>
            </xdr:cNvPr>
            <xdr:cNvCxnSpPr/>
          </xdr:nvCxnSpPr>
          <xdr:spPr>
            <a:xfrm rot="10800000" flipV="1">
              <a:off x="2895600" y="6715123"/>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不可不知" descr="不可不知&#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圖形 147" descr="眼鏡">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41192"/>
              <a:ext cx="323347" cy="349115"/>
            </a:xfrm>
            <a:prstGeom prst="rect">
              <a:avLst/>
            </a:prstGeom>
          </xdr:spPr>
        </xdr:pic>
        <xdr:sp macro="" textlink="">
          <xdr:nvSpPr>
            <xdr:cNvPr id="102" name="步驟"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n-lt"/>
                  <a:ea typeface="Microsoft JhengHei UI" panose="020B0604030504040204" pitchFamily="34" charset="-120"/>
                  <a:cs typeface="+mn-cs"/>
                </a:rPr>
                <a:t>當您輸入每個引數的區段時，引數的描述會顯示在表單的底部，以及公式結果的上方。</a:t>
              </a:r>
              <a:endParaRPr lang="en-US" sz="1100">
                <a:effectLst/>
                <a:latin typeface="+mn-lt"/>
                <a:ea typeface="Microsoft JhengHei UI" panose="020B0604030504040204" pitchFamily="34" charset="-120"/>
              </a:endParaRPr>
            </a:p>
          </xdr:txBody>
        </xdr:sp>
        <xdr:sp macro="" textlink="">
          <xdr:nvSpPr>
            <xdr:cNvPr id="104" name="手繪多邊形：圖案 103" descr="箭號">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5038725</xdr:colOff>
      <xdr:row>48</xdr:row>
      <xdr:rowOff>180976</xdr:rowOff>
    </xdr:to>
    <xdr:sp macro="" textlink="">
      <xdr:nvSpPr>
        <xdr:cNvPr id="49" name="文字_導覽背景" descr="背景​​">
          <a:extLst>
            <a:ext uri="{FF2B5EF4-FFF2-40B4-BE49-F238E27FC236}">
              <a16:creationId xmlns:a16="http://schemas.microsoft.com/office/drawing/2014/main" id="{82635223-B159-4E05-9CEC-2A2F6DF969F2}"/>
            </a:ext>
          </a:extLst>
        </xdr:cNvPr>
        <xdr:cNvSpPr/>
      </xdr:nvSpPr>
      <xdr:spPr>
        <a:xfrm>
          <a:off x="342900" y="361950"/>
          <a:ext cx="5734050" cy="961072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4778372</xdr:colOff>
      <xdr:row>3</xdr:row>
      <xdr:rowOff>146203</xdr:rowOff>
    </xdr:to>
    <xdr:sp macro="" textlink="">
      <xdr:nvSpPr>
        <xdr:cNvPr id="50" name="文字_導覽標頭" descr="修正公式錯誤">
          <a:extLst>
            <a:ext uri="{FF2B5EF4-FFF2-40B4-BE49-F238E27FC236}">
              <a16:creationId xmlns:a16="http://schemas.microsoft.com/office/drawing/2014/main" id="{05227845-B4BB-432C-8781-4109C43593D7}"/>
            </a:ext>
          </a:extLst>
        </xdr:cNvPr>
        <xdr:cNvSpPr txBox="1"/>
      </xdr:nvSpPr>
      <xdr:spPr>
        <a:xfrm>
          <a:off x="565153" y="457199"/>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修正公式錯誤</a:t>
          </a:r>
        </a:p>
      </xdr:txBody>
    </xdr:sp>
    <xdr:clientData/>
  </xdr:twoCellAnchor>
  <xdr:twoCellAnchor editAs="absolute">
    <xdr:from>
      <xdr:col>0</xdr:col>
      <xdr:colOff>565153</xdr:colOff>
      <xdr:row>2</xdr:row>
      <xdr:rowOff>76201</xdr:rowOff>
    </xdr:from>
    <xdr:to>
      <xdr:col>1</xdr:col>
      <xdr:colOff>4775176</xdr:colOff>
      <xdr:row>2</xdr:row>
      <xdr:rowOff>76201</xdr:rowOff>
    </xdr:to>
    <xdr:cxnSp macro="">
      <xdr:nvCxnSpPr>
        <xdr:cNvPr id="51" name="文字_導覽線條1" descr="裝飾線條">
          <a:extLst>
            <a:ext uri="{FF2B5EF4-FFF2-40B4-BE49-F238E27FC236}">
              <a16:creationId xmlns:a16="http://schemas.microsoft.com/office/drawing/2014/main" id="{667B22D5-9F0D-4C3A-94F4-DCD9CA9B8E5C}"/>
            </a:ext>
          </a:extLst>
        </xdr:cNvPr>
        <xdr:cNvCxnSpPr>
          <a:cxnSpLocks/>
        </xdr:cNvCxnSpPr>
      </xdr:nvCxnSpPr>
      <xdr:spPr>
        <a:xfrm>
          <a:off x="565153" y="102870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45</xdr:row>
      <xdr:rowOff>78316</xdr:rowOff>
    </xdr:from>
    <xdr:to>
      <xdr:col>1</xdr:col>
      <xdr:colOff>4775176</xdr:colOff>
      <xdr:row>45</xdr:row>
      <xdr:rowOff>78316</xdr:rowOff>
    </xdr:to>
    <xdr:cxnSp macro="">
      <xdr:nvCxnSpPr>
        <xdr:cNvPr id="52" name="文字_導覽線條2" descr="裝飾線條">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571663</xdr:colOff>
      <xdr:row>2</xdr:row>
      <xdr:rowOff>109616</xdr:rowOff>
    </xdr:from>
    <xdr:to>
      <xdr:col>1</xdr:col>
      <xdr:colOff>4784882</xdr:colOff>
      <xdr:row>6</xdr:row>
      <xdr:rowOff>179620</xdr:rowOff>
    </xdr:to>
    <xdr:sp macro="" textlink="">
      <xdr:nvSpPr>
        <xdr:cNvPr id="53" name="文字_導覽簡介" descr="有時候難免會遇到有錯誤的公式，而 Excel 會顯示 #ErrorName!。錯誤非常有用，因為錯誤會指出無法正常運作的某個項目，但是錯誤可能不容易修正。所幸，有一些選項能夠協助您追蹤錯誤來源並加以修正。">
          <a:extLst>
            <a:ext uri="{FF2B5EF4-FFF2-40B4-BE49-F238E27FC236}">
              <a16:creationId xmlns:a16="http://schemas.microsoft.com/office/drawing/2014/main" id="{129F9FEB-45A7-4164-9E1F-0EF1DB2D9BC8}"/>
            </a:ext>
          </a:extLst>
        </xdr:cNvPr>
        <xdr:cNvSpPr txBox="1"/>
      </xdr:nvSpPr>
      <xdr:spPr>
        <a:xfrm>
          <a:off x="571663" y="1062116"/>
          <a:ext cx="5251444" cy="8320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有時候難免會遇到有錯誤的公式，而 Excel 會顯示  #ErrorName。錯誤非常有用，因為錯誤會指出無法正常運作的某個項目，但是錯誤可能很難修正。所幸，有一些能夠協助您追蹤錯誤來源並加以修正的選項。</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xdr:twoCellAnchor>
  <xdr:twoCellAnchor editAs="absolute">
    <xdr:from>
      <xdr:col>0</xdr:col>
      <xdr:colOff>666924</xdr:colOff>
      <xdr:row>7</xdr:row>
      <xdr:rowOff>19050</xdr:rowOff>
    </xdr:from>
    <xdr:to>
      <xdr:col>1</xdr:col>
      <xdr:colOff>4867867</xdr:colOff>
      <xdr:row>12</xdr:row>
      <xdr:rowOff>85725</xdr:rowOff>
    </xdr:to>
    <xdr:grpSp>
      <xdr:nvGrpSpPr>
        <xdr:cNvPr id="2" name="群組 1">
          <a:extLst>
            <a:ext uri="{FF2B5EF4-FFF2-40B4-BE49-F238E27FC236}">
              <a16:creationId xmlns:a16="http://schemas.microsoft.com/office/drawing/2014/main" id="{A8B5C958-0EB2-41E2-B876-52C03CDCE6CA}"/>
            </a:ext>
          </a:extLst>
        </xdr:cNvPr>
        <xdr:cNvGrpSpPr/>
      </xdr:nvGrpSpPr>
      <xdr:grpSpPr>
        <a:xfrm>
          <a:off x="666924" y="1924050"/>
          <a:ext cx="5324893" cy="1057275"/>
          <a:chOff x="571500" y="1924050"/>
          <a:chExt cx="5229626" cy="1057275"/>
        </a:xfrm>
      </xdr:grpSpPr>
      <xdr:sp macro="" textlink="">
        <xdr:nvSpPr>
          <xdr:cNvPr id="55" name="文字_步驟" descr="錯誤檢查 - 移至 [公式] &gt; [錯誤檢查]。這會載入對話方塊，說明特定錯誤的一般原因。在儲存格 D9 中，導致 #N/A 錯誤的原因是沒有符合「蘋果」的值。您可以使用確實存在的值來修正此問題、使用 IFERROR 來隱藏錯誤，或忽略錯誤，因為您知道錯誤會在您使用確實存在的值時消失。">
            <a:extLst>
              <a:ext uri="{FF2B5EF4-FFF2-40B4-BE49-F238E27FC236}">
                <a16:creationId xmlns:a16="http://schemas.microsoft.com/office/drawing/2014/main" id="{4AE4624F-481E-4B9E-ABC2-5B221D8CD197}"/>
              </a:ext>
            </a:extLst>
          </xdr:cNvPr>
          <xdr:cNvSpPr txBox="1"/>
        </xdr:nvSpPr>
        <xdr:spPr>
          <a:xfrm>
            <a:off x="991382" y="1966008"/>
            <a:ext cx="4809744" cy="1015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錯誤檢查：移至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[公式]</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[錯誤檢查]</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。這會載入對話方塊，說明特定錯誤的一般原因。在儲存格 D9 中，導致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#N/A</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錯誤的原因是沒有與「蘋果」相符的值。您可以使用確實存在的值來修正此問題、使用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IFERROR</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來隱藏錯誤，或忽略錯誤，因為您知道錯誤會在您使用確實存在的值時消失。</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56" name="圖案_步驟"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clientData/>
  </xdr:twoCellAnchor>
  <xdr:twoCellAnchor editAs="absolute">
    <xdr:from>
      <xdr:col>1</xdr:col>
      <xdr:colOff>740839</xdr:colOff>
      <xdr:row>12</xdr:row>
      <xdr:rowOff>114300</xdr:rowOff>
    </xdr:from>
    <xdr:to>
      <xdr:col>1</xdr:col>
      <xdr:colOff>3516836</xdr:colOff>
      <xdr:row>22</xdr:row>
      <xdr:rowOff>114062</xdr:rowOff>
    </xdr:to>
    <xdr:pic>
      <xdr:nvPicPr>
        <xdr:cNvPr id="57" name="圖片 56" descr="[錯誤檢查] 對話方塊">
          <a:extLst>
            <a:ext uri="{FF2B5EF4-FFF2-40B4-BE49-F238E27FC236}">
              <a16:creationId xmlns:a16="http://schemas.microsoft.com/office/drawing/2014/main" id="{0121223C-B7FB-4B99-8610-9DBF2265412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1864789" y="3009900"/>
          <a:ext cx="2775997" cy="1904762"/>
        </a:xfrm>
        <a:prstGeom prst="rect">
          <a:avLst/>
        </a:prstGeom>
      </xdr:spPr>
    </xdr:pic>
    <xdr:clientData/>
  </xdr:twoCellAnchor>
  <xdr:twoCellAnchor editAs="absolute">
    <xdr:from>
      <xdr:col>0</xdr:col>
      <xdr:colOff>666924</xdr:colOff>
      <xdr:row>22</xdr:row>
      <xdr:rowOff>157163</xdr:rowOff>
    </xdr:from>
    <xdr:to>
      <xdr:col>1</xdr:col>
      <xdr:colOff>4867867</xdr:colOff>
      <xdr:row>26</xdr:row>
      <xdr:rowOff>104775</xdr:rowOff>
    </xdr:to>
    <xdr:grpSp>
      <xdr:nvGrpSpPr>
        <xdr:cNvPr id="3" name="群組 2">
          <a:extLst>
            <a:ext uri="{FF2B5EF4-FFF2-40B4-BE49-F238E27FC236}">
              <a16:creationId xmlns:a16="http://schemas.microsoft.com/office/drawing/2014/main" id="{76285975-E71E-42A6-9427-0A2776DA5CC0}"/>
            </a:ext>
          </a:extLst>
        </xdr:cNvPr>
        <xdr:cNvGrpSpPr/>
      </xdr:nvGrpSpPr>
      <xdr:grpSpPr>
        <a:xfrm>
          <a:off x="666924" y="4957763"/>
          <a:ext cx="5324893" cy="709612"/>
          <a:chOff x="571500" y="4957763"/>
          <a:chExt cx="5229626" cy="709612"/>
        </a:xfrm>
      </xdr:grpSpPr>
      <xdr:sp macro="" textlink="">
        <xdr:nvSpPr>
          <xdr:cNvPr id="59" name="文字_步驟" descr="如果您按一下 [此錯誤的說明]，將會開啟錯誤訊息的相關特定說明主題。如果您按一下 [顯示計算步驟]，將會載入 [評估值公式] 對話方塊。">
            <a:extLst>
              <a:ext uri="{FF2B5EF4-FFF2-40B4-BE49-F238E27FC236}">
                <a16:creationId xmlns:a16="http://schemas.microsoft.com/office/drawing/2014/main" id="{FF0A2293-1E29-453D-8C23-E342D71BA90C}"/>
              </a:ext>
            </a:extLst>
          </xdr:cNvPr>
          <xdr:cNvSpPr txBox="1"/>
        </xdr:nvSpPr>
        <xdr:spPr>
          <a:xfrm>
            <a:off x="991382" y="4999721"/>
            <a:ext cx="4809744" cy="66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如果您按一下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[此錯誤的說明]</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，將會開啟錯誤訊息的相關特定說明主題。如果您按一下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[顯示計算步驟]</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，將會載入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[評估值公式]</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對話方塊。</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60" name="圖案_步驟"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clientData/>
  </xdr:twoCellAnchor>
  <xdr:twoCellAnchor editAs="absolute">
    <xdr:from>
      <xdr:col>0</xdr:col>
      <xdr:colOff>992216</xdr:colOff>
      <xdr:row>26</xdr:row>
      <xdr:rowOff>104775</xdr:rowOff>
    </xdr:from>
    <xdr:to>
      <xdr:col>1</xdr:col>
      <xdr:colOff>4389408</xdr:colOff>
      <xdr:row>40</xdr:row>
      <xdr:rowOff>28246</xdr:rowOff>
    </xdr:to>
    <xdr:pic>
      <xdr:nvPicPr>
        <xdr:cNvPr id="61" name="圖片 60" descr="[評估值公式] 對話方塊">
          <a:extLst>
            <a:ext uri="{FF2B5EF4-FFF2-40B4-BE49-F238E27FC236}">
              <a16:creationId xmlns:a16="http://schemas.microsoft.com/office/drawing/2014/main" id="{CDB56BE8-69E3-438A-BE9D-6F5C4BA396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992216" y="5667375"/>
          <a:ext cx="4521142" cy="2628571"/>
        </a:xfrm>
        <a:prstGeom prst="rect">
          <a:avLst/>
        </a:prstGeom>
      </xdr:spPr>
    </xdr:pic>
    <xdr:clientData/>
  </xdr:twoCellAnchor>
  <xdr:twoCellAnchor editAs="absolute">
    <xdr:from>
      <xdr:col>0</xdr:col>
      <xdr:colOff>666924</xdr:colOff>
      <xdr:row>40</xdr:row>
      <xdr:rowOff>104779</xdr:rowOff>
    </xdr:from>
    <xdr:to>
      <xdr:col>1</xdr:col>
      <xdr:colOff>4867867</xdr:colOff>
      <xdr:row>44</xdr:row>
      <xdr:rowOff>123832</xdr:rowOff>
    </xdr:to>
    <xdr:grpSp>
      <xdr:nvGrpSpPr>
        <xdr:cNvPr id="4" name="群組 3">
          <a:extLst>
            <a:ext uri="{FF2B5EF4-FFF2-40B4-BE49-F238E27FC236}">
              <a16:creationId xmlns:a16="http://schemas.microsoft.com/office/drawing/2014/main" id="{85545FAE-3743-4F8E-97DB-E0C750FA7DE7}"/>
            </a:ext>
          </a:extLst>
        </xdr:cNvPr>
        <xdr:cNvGrpSpPr/>
      </xdr:nvGrpSpPr>
      <xdr:grpSpPr>
        <a:xfrm>
          <a:off x="666924" y="8372479"/>
          <a:ext cx="5324893" cy="781053"/>
          <a:chOff x="571500" y="8372474"/>
          <a:chExt cx="5229626" cy="817808"/>
        </a:xfrm>
      </xdr:grpSpPr>
      <xdr:sp macro="" textlink="">
        <xdr:nvSpPr>
          <xdr:cNvPr id="63" name="文字_步驟" descr="每次按一下 [評估值] 時，Excel 會逐步執行公式 (一次一個區段)。這個動作不一定會告訴您發生錯誤的原因，但會指出錯誤所在的位置。">
            <a:extLst>
              <a:ext uri="{FF2B5EF4-FFF2-40B4-BE49-F238E27FC236}">
                <a16:creationId xmlns:a16="http://schemas.microsoft.com/office/drawing/2014/main" id="{0D6FDE98-287E-402E-9C3F-81CD5951F461}"/>
              </a:ext>
            </a:extLst>
          </xdr:cNvPr>
          <xdr:cNvSpPr txBox="1"/>
        </xdr:nvSpPr>
        <xdr:spPr>
          <a:xfrm>
            <a:off x="991382" y="8414434"/>
            <a:ext cx="4809744" cy="7758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每當您按一下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[評估值]</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時，Excel 會逐步執行公式 (一次一個區段)。這不一定會告訴您發生錯誤的原因，但會指出錯誤所在的位置。從這裡查看說明主題來推算公式哪裡出錯了。</a:t>
            </a: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64" name="圖案_步驟" descr="3">
            <a:extLst>
              <a:ext uri="{FF2B5EF4-FFF2-40B4-BE49-F238E27FC236}">
                <a16:creationId xmlns:a16="http://schemas.microsoft.com/office/drawing/2014/main" id="{4C60E600-C8A7-466F-BFAA-56DFFA965DD9}"/>
              </a:ext>
            </a:extLst>
          </xdr:cNvPr>
          <xdr:cNvSpPr/>
        </xdr:nvSpPr>
        <xdr:spPr>
          <a:xfrm>
            <a:off x="571500" y="8372474"/>
            <a:ext cx="374621" cy="3844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i="0">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grpSp>
    <xdr:clientData/>
  </xdr:twoCellAnchor>
  <xdr:twoCellAnchor editAs="absolute">
    <xdr:from>
      <xdr:col>0</xdr:col>
      <xdr:colOff>590550</xdr:colOff>
      <xdr:row>46</xdr:row>
      <xdr:rowOff>47625</xdr:rowOff>
    </xdr:from>
    <xdr:to>
      <xdr:col>1</xdr:col>
      <xdr:colOff>827497</xdr:colOff>
      <xdr:row>48</xdr:row>
      <xdr:rowOff>2074</xdr:rowOff>
    </xdr:to>
    <xdr:sp macro="" textlink="">
      <xdr:nvSpPr>
        <xdr:cNvPr id="65" name="[上一個] 按鈕" descr="回到上一個工作表">
          <a:hlinkClick xmlns:r="http://schemas.openxmlformats.org/officeDocument/2006/relationships" r:id="rId3" tooltip="按一下這裡回到上一個工作表"/>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上一步</a:t>
          </a:r>
        </a:p>
      </xdr:txBody>
    </xdr:sp>
    <xdr:clientData fPrintsWithSheet="0"/>
  </xdr:twoCellAnchor>
  <xdr:twoCellAnchor editAs="absolute">
    <xdr:from>
      <xdr:col>1</xdr:col>
      <xdr:colOff>3498384</xdr:colOff>
      <xdr:row>46</xdr:row>
      <xdr:rowOff>47625</xdr:rowOff>
    </xdr:from>
    <xdr:to>
      <xdr:col>1</xdr:col>
      <xdr:colOff>4773556</xdr:colOff>
      <xdr:row>48</xdr:row>
      <xdr:rowOff>2074</xdr:rowOff>
    </xdr:to>
    <xdr:sp macro="" textlink="">
      <xdr:nvSpPr>
        <xdr:cNvPr id="66" name="[下一個] 按鈕" descr="前往下一個工作表">
          <a:hlinkClick xmlns:r="http://schemas.openxmlformats.org/officeDocument/2006/relationships" r:id="rId4" tooltip="按一下這裡前往下一個工作表"/>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下一步</a:t>
          </a:r>
        </a:p>
      </xdr:txBody>
    </xdr:sp>
    <xdr:clientData fPrintsWithSheet="0"/>
  </xdr:twoCellAnchor>
  <xdr:twoCellAnchor editAs="absolute">
    <xdr:from>
      <xdr:col>3</xdr:col>
      <xdr:colOff>50800</xdr:colOff>
      <xdr:row>36</xdr:row>
      <xdr:rowOff>38100</xdr:rowOff>
    </xdr:from>
    <xdr:to>
      <xdr:col>7</xdr:col>
      <xdr:colOff>1057</xdr:colOff>
      <xdr:row>42</xdr:row>
      <xdr:rowOff>46766</xdr:rowOff>
    </xdr:to>
    <xdr:grpSp>
      <xdr:nvGrpSpPr>
        <xdr:cNvPr id="67" name="實驗" descr="實驗">
          <a:extLst>
            <a:ext uri="{FF2B5EF4-FFF2-40B4-BE49-F238E27FC236}">
              <a16:creationId xmlns:a16="http://schemas.microsoft.com/office/drawing/2014/main" id="{7AB7F1CB-875F-43B5-84D0-9EF392715E5F}"/>
            </a:ext>
          </a:extLst>
        </xdr:cNvPr>
        <xdr:cNvGrpSpPr/>
      </xdr:nvGrpSpPr>
      <xdr:grpSpPr>
        <a:xfrm>
          <a:off x="7785100" y="7534275"/>
          <a:ext cx="3379257" cy="1161191"/>
          <a:chOff x="6375400" y="12710331"/>
          <a:chExt cx="3768724" cy="1161191"/>
        </a:xfrm>
      </xdr:grpSpPr>
      <xdr:sp macro="" textlink="">
        <xdr:nvSpPr>
          <xdr:cNvPr id="68" name="步驟"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實驗</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lvl="0" rtl="0">
              <a:defRPr/>
            </a:pPr>
            <a:r>
              <a:rPr sz="1100">
                <a:latin typeface="Microsoft JhengHei UI" panose="020B0604030504040204" pitchFamily="34" charset="-120"/>
                <a:ea typeface="Microsoft JhengHei UI" panose="020B0604030504040204" pitchFamily="34" charset="-120"/>
              </a:rPr>
              <a:t>這裡發生</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什麼</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問題？提示：我們正嘗試將所有項目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[加總]</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a:t>
            </a:r>
            <a:endPar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69" name="手繪多邊形：圖案 68" descr="括號行">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0" name="手繪多邊形：圖案 69" descr="括號行">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1" name="弧線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sp macro="" textlink="">
        <xdr:nvSpPr>
          <xdr:cNvPr id="72" name="弧線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n-lt"/>
              <a:ea typeface="+mn-ea"/>
              <a:cs typeface="+mn-cs"/>
            </a:endParaRPr>
          </a:p>
        </xdr:txBody>
      </xdr:sp>
      <xdr:pic>
        <xdr:nvPicPr>
          <xdr:cNvPr id="73" name="圖形 96" descr="燒瓶">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375400" y="12980570"/>
            <a:ext cx="384748" cy="368300"/>
          </a:xfrm>
          <a:prstGeom prst="rect">
            <a:avLst/>
          </a:prstGeom>
        </xdr:spPr>
      </xdr:pic>
    </xdr:grpSp>
    <xdr:clientData/>
  </xdr:twoCellAnchor>
  <xdr:twoCellAnchor editAs="absolute">
    <xdr:from>
      <xdr:col>2</xdr:col>
      <xdr:colOff>831850</xdr:colOff>
      <xdr:row>22</xdr:row>
      <xdr:rowOff>61640</xdr:rowOff>
    </xdr:from>
    <xdr:to>
      <xdr:col>5</xdr:col>
      <xdr:colOff>682625</xdr:colOff>
      <xdr:row>27</xdr:row>
      <xdr:rowOff>12</xdr:rowOff>
    </xdr:to>
    <xdr:grpSp>
      <xdr:nvGrpSpPr>
        <xdr:cNvPr id="74" name="不可不知" descr="不可不知&#10;&#10;">
          <a:extLst>
            <a:ext uri="{FF2B5EF4-FFF2-40B4-BE49-F238E27FC236}">
              <a16:creationId xmlns:a16="http://schemas.microsoft.com/office/drawing/2014/main" id="{31BEE91F-7C0C-4732-BB35-0C8B019C6B03}"/>
            </a:ext>
          </a:extLst>
        </xdr:cNvPr>
        <xdr:cNvGrpSpPr/>
      </xdr:nvGrpSpPr>
      <xdr:grpSpPr>
        <a:xfrm>
          <a:off x="7423150" y="4862240"/>
          <a:ext cx="2898775" cy="890872"/>
          <a:chOff x="6778625" y="15619706"/>
          <a:chExt cx="2584778" cy="855693"/>
        </a:xfrm>
      </xdr:grpSpPr>
      <xdr:sp macro="" textlink="">
        <xdr:nvSpPr>
          <xdr:cNvPr id="75" name="步驟"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j-lt"/>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j-lt"/>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tx1">
                    <a:lumMod val="75000"/>
                    <a:lumOff val="25000"/>
                  </a:schemeClr>
                </a:solidFill>
                <a:effectLst/>
                <a:latin typeface="+mn-lt"/>
                <a:ea typeface="Microsoft JhengHei UI" panose="020B0604030504040204" pitchFamily="34" charset="-120"/>
                <a:cs typeface="+mn-cs"/>
              </a:rPr>
              <a:t>按一下 </a:t>
            </a:r>
            <a:r>
              <a:rPr lang="zh-tw" sz="1100" b="1" i="0" kern="1200" baseline="0">
                <a:solidFill>
                  <a:schemeClr val="tx1">
                    <a:lumMod val="75000"/>
                    <a:lumOff val="25000"/>
                  </a:schemeClr>
                </a:solidFill>
                <a:effectLst/>
                <a:latin typeface="+mn-lt"/>
                <a:ea typeface="Microsoft JhengHei UI" panose="020B0604030504040204" pitchFamily="34" charset="-120"/>
                <a:cs typeface="+mn-cs"/>
              </a:rPr>
              <a:t>[選項]</a:t>
            </a:r>
            <a:r>
              <a:rPr lang="zh-tw" sz="1100" b="0" i="0" kern="1200" baseline="0">
                <a:solidFill>
                  <a:schemeClr val="tx1">
                    <a:lumMod val="75000"/>
                    <a:lumOff val="25000"/>
                  </a:schemeClr>
                </a:solidFill>
                <a:effectLst/>
                <a:latin typeface="+mn-lt"/>
                <a:ea typeface="Microsoft JhengHei UI" panose="020B0604030504040204" pitchFamily="34" charset="-120"/>
                <a:cs typeface="+mn-cs"/>
              </a:rPr>
              <a:t> 可讓您設定顯示或忽略 Excel 中的錯誤時的規則。</a:t>
            </a:r>
            <a:endParaRPr lang="en-US" sz="1100">
              <a:solidFill>
                <a:schemeClr val="tx1">
                  <a:lumMod val="75000"/>
                  <a:lumOff val="25000"/>
                </a:schemeClr>
              </a:solidFill>
              <a:effectLst/>
              <a:latin typeface="+mn-lt"/>
              <a:ea typeface="Microsoft JhengHei UI" panose="020B0604030504040204" pitchFamily="34" charset="-120"/>
            </a:endParaRPr>
          </a:p>
        </xdr:txBody>
      </xdr:sp>
      <xdr:pic>
        <xdr:nvPicPr>
          <xdr:cNvPr id="76" name="圖形 147" descr="眼鏡">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6"/>
            <a:ext cx="323347" cy="349115"/>
          </a:xfrm>
          <a:prstGeom prst="rect">
            <a:avLst/>
          </a:prstGeom>
        </xdr:spPr>
      </xdr:pic>
    </xdr:grpSp>
    <xdr:clientData/>
  </xdr:twoCellAnchor>
  <xdr:twoCellAnchor>
    <xdr:from>
      <xdr:col>1</xdr:col>
      <xdr:colOff>1571626</xdr:colOff>
      <xdr:row>21</xdr:row>
      <xdr:rowOff>114302</xdr:rowOff>
    </xdr:from>
    <xdr:to>
      <xdr:col>2</xdr:col>
      <xdr:colOff>638176</xdr:colOff>
      <xdr:row>23</xdr:row>
      <xdr:rowOff>19050</xdr:rowOff>
    </xdr:to>
    <xdr:cxnSp macro="">
      <xdr:nvCxnSpPr>
        <xdr:cNvPr id="77" name="連接器：弧形 76">
          <a:extLst>
            <a:ext uri="{FF2B5EF4-FFF2-40B4-BE49-F238E27FC236}">
              <a16:creationId xmlns:a16="http://schemas.microsoft.com/office/drawing/2014/main" id="{16767E7F-5A94-4A53-A7E2-81A5EF1897C0}"/>
            </a:ext>
          </a:extLst>
        </xdr:cNvPr>
        <xdr:cNvCxnSpPr/>
      </xdr:nvCxnSpPr>
      <xdr:spPr>
        <a:xfrm rot="10800000">
          <a:off x="2695576" y="4724402"/>
          <a:ext cx="4533900"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0</xdr:col>
      <xdr:colOff>342900</xdr:colOff>
      <xdr:row>49</xdr:row>
      <xdr:rowOff>47625</xdr:rowOff>
    </xdr:from>
    <xdr:to>
      <xdr:col>1</xdr:col>
      <xdr:colOff>5036550</xdr:colOff>
      <xdr:row>62</xdr:row>
      <xdr:rowOff>171450</xdr:rowOff>
    </xdr:to>
    <xdr:grpSp>
      <xdr:nvGrpSpPr>
        <xdr:cNvPr id="78" name="群組 77">
          <a:extLst>
            <a:ext uri="{FF2B5EF4-FFF2-40B4-BE49-F238E27FC236}">
              <a16:creationId xmlns:a16="http://schemas.microsoft.com/office/drawing/2014/main" id="{340F396F-7EEE-4FE2-8349-58C6AAB22606}"/>
            </a:ext>
          </a:extLst>
        </xdr:cNvPr>
        <xdr:cNvGrpSpPr/>
      </xdr:nvGrpSpPr>
      <xdr:grpSpPr>
        <a:xfrm>
          <a:off x="342900" y="10029825"/>
          <a:ext cx="5817600" cy="2600325"/>
          <a:chOff x="352425" y="10715625"/>
          <a:chExt cx="5567846" cy="2390775"/>
        </a:xfrm>
      </xdr:grpSpPr>
      <xdr:sp macro="" textlink="">
        <xdr:nvSpPr>
          <xdr:cNvPr id="79" name="矩形 78">
            <a:extLst>
              <a:ext uri="{FF2B5EF4-FFF2-40B4-BE49-F238E27FC236}">
                <a16:creationId xmlns:a16="http://schemas.microsoft.com/office/drawing/2014/main" id="{14D789FA-74C9-492D-A225-7D3C79A2D087}"/>
              </a:ext>
            </a:extLst>
          </xdr:cNvPr>
          <xdr:cNvSpPr/>
        </xdr:nvSpPr>
        <xdr:spPr>
          <a:xfrm>
            <a:off x="352425" y="10715625"/>
            <a:ext cx="5567846"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p>
        </xdr:txBody>
      </xdr:sp>
      <xdr:sp macro="" textlink="">
        <xdr:nvSpPr>
          <xdr:cNvPr id="80" name="步驟" descr="更多網路上的資訊&#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Web 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81" name="直線接點 80" descr="裝飾線條">
            <a:extLst>
              <a:ext uri="{FF2B5EF4-FFF2-40B4-BE49-F238E27FC236}">
                <a16:creationId xmlns:a16="http://schemas.microsoft.com/office/drawing/2014/main" id="{D78368A3-B0DA-4D56-A2D9-D61314658FEC}"/>
              </a:ext>
            </a:extLst>
          </xdr:cNvPr>
          <xdr:cNvCxnSpPr>
            <a:cxnSpLocks/>
          </xdr:cNvCxnSpPr>
        </xdr:nvCxnSpPr>
        <xdr:spPr>
          <a:xfrm>
            <a:off x="585659" y="11319574"/>
            <a:ext cx="510615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直線接點 81" descr="裝飾線條">
            <a:extLst>
              <a:ext uri="{FF2B5EF4-FFF2-40B4-BE49-F238E27FC236}">
                <a16:creationId xmlns:a16="http://schemas.microsoft.com/office/drawing/2014/main" id="{9F9DC1E5-92D2-4E32-BCB9-CCE0FAC9C8B2}"/>
              </a:ext>
            </a:extLst>
          </xdr:cNvPr>
          <xdr:cNvCxnSpPr>
            <a:cxnSpLocks/>
          </xdr:cNvCxnSpPr>
        </xdr:nvCxnSpPr>
        <xdr:spPr>
          <a:xfrm>
            <a:off x="585659" y="12912957"/>
            <a:ext cx="510615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53</xdr:row>
      <xdr:rowOff>35644</xdr:rowOff>
    </xdr:from>
    <xdr:to>
      <xdr:col>1</xdr:col>
      <xdr:colOff>2552700</xdr:colOff>
      <xdr:row>55</xdr:row>
      <xdr:rowOff>13723</xdr:rowOff>
    </xdr:to>
    <xdr:grpSp>
      <xdr:nvGrpSpPr>
        <xdr:cNvPr id="83" name="群組 82">
          <a:extLst>
            <a:ext uri="{FF2B5EF4-FFF2-40B4-BE49-F238E27FC236}">
              <a16:creationId xmlns:a16="http://schemas.microsoft.com/office/drawing/2014/main" id="{1612118D-530C-41CF-BA41-E6AC52C9311F}"/>
            </a:ext>
          </a:extLst>
        </xdr:cNvPr>
        <xdr:cNvGrpSpPr/>
      </xdr:nvGrpSpPr>
      <xdr:grpSpPr>
        <a:xfrm>
          <a:off x="552881" y="10779844"/>
          <a:ext cx="3123769" cy="359079"/>
          <a:chOff x="552881" y="10532194"/>
          <a:chExt cx="2866594" cy="359079"/>
        </a:xfrm>
      </xdr:grpSpPr>
      <xdr:sp macro="" textlink="">
        <xdr:nvSpPr>
          <xdr:cNvPr id="84" name="步驟" descr="深入了解 IF 函數，附有移至網路的超連結&#10;&#10;">
            <a:hlinkClick xmlns:r="http://schemas.openxmlformats.org/officeDocument/2006/relationships" r:id="rId9" tooltip="選取以在網路上深入了解如何偵測公式中的錯誤"/>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偵測公式中的錯誤</a:t>
            </a:r>
          </a:p>
        </xdr:txBody>
      </xdr:sp>
      <xdr:pic>
        <xdr:nvPicPr>
          <xdr:cNvPr id="85" name="圖形 22" descr="箭號">
            <a:hlinkClick xmlns:r="http://schemas.openxmlformats.org/officeDocument/2006/relationships" r:id="rId9" tooltip="選取以從網路深入了解"/>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55</xdr:row>
      <xdr:rowOff>29710</xdr:rowOff>
    </xdr:from>
    <xdr:to>
      <xdr:col>1</xdr:col>
      <xdr:colOff>2581275</xdr:colOff>
      <xdr:row>57</xdr:row>
      <xdr:rowOff>13099</xdr:rowOff>
    </xdr:to>
    <xdr:grpSp>
      <xdr:nvGrpSpPr>
        <xdr:cNvPr id="86" name="群組 85">
          <a:extLst>
            <a:ext uri="{FF2B5EF4-FFF2-40B4-BE49-F238E27FC236}">
              <a16:creationId xmlns:a16="http://schemas.microsoft.com/office/drawing/2014/main" id="{ADC1751D-5736-45B9-8E54-EF18BF377AD1}"/>
            </a:ext>
          </a:extLst>
        </xdr:cNvPr>
        <xdr:cNvGrpSpPr/>
      </xdr:nvGrpSpPr>
      <xdr:grpSpPr>
        <a:xfrm>
          <a:off x="552881" y="11154910"/>
          <a:ext cx="3152344" cy="364389"/>
          <a:chOff x="552881" y="10907260"/>
          <a:chExt cx="2895169" cy="364389"/>
        </a:xfrm>
      </xdr:grpSpPr>
      <xdr:sp macro="" textlink="">
        <xdr:nvSpPr>
          <xdr:cNvPr id="87" name="步驟" descr="深入了解 IFS 函數，附有移至網路的超連結&#10;">
            <a:hlinkClick xmlns:r="http://schemas.openxmlformats.org/officeDocument/2006/relationships" r:id="rId12" tooltip="選取以在網路上深入了解如何避免公式出錯"/>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如何避免公式出錯</a:t>
            </a:r>
          </a:p>
        </xdr:txBody>
      </xdr:sp>
      <xdr:pic>
        <xdr:nvPicPr>
          <xdr:cNvPr id="88" name="圖形 22" descr="箭號">
            <a:hlinkClick xmlns:r="http://schemas.openxmlformats.org/officeDocument/2006/relationships" r:id="rId12" tooltip="選取以從網路深入了解"/>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59</xdr:row>
      <xdr:rowOff>60628</xdr:rowOff>
    </xdr:from>
    <xdr:to>
      <xdr:col>1</xdr:col>
      <xdr:colOff>2202742</xdr:colOff>
      <xdr:row>61</xdr:row>
      <xdr:rowOff>44017</xdr:rowOff>
    </xdr:to>
    <xdr:grpSp>
      <xdr:nvGrpSpPr>
        <xdr:cNvPr id="89" name="群組 88">
          <a:extLst>
            <a:ext uri="{FF2B5EF4-FFF2-40B4-BE49-F238E27FC236}">
              <a16:creationId xmlns:a16="http://schemas.microsoft.com/office/drawing/2014/main" id="{7988A760-4FB2-4E7F-B1F1-2324CEF3CF3E}"/>
            </a:ext>
          </a:extLst>
        </xdr:cNvPr>
        <xdr:cNvGrpSpPr/>
      </xdr:nvGrpSpPr>
      <xdr:grpSpPr>
        <a:xfrm>
          <a:off x="552881" y="11947828"/>
          <a:ext cx="2773811" cy="364389"/>
          <a:chOff x="552881" y="11700178"/>
          <a:chExt cx="2516636" cy="364389"/>
        </a:xfrm>
      </xdr:grpSpPr>
      <xdr:sp macro="" textlink="">
        <xdr:nvSpPr>
          <xdr:cNvPr id="90" name="步驟" descr="免費的 Excel 線上訓練，附有移至網路的超連結&#10;">
            <a:hlinkClick xmlns:r="http://schemas.openxmlformats.org/officeDocument/2006/relationships" r:id="rId13" tooltip="選取以了解網路上免費的 Excel 訓練"/>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免費的 Excel 線上訓練</a:t>
            </a:r>
          </a:p>
        </xdr:txBody>
      </xdr:sp>
      <xdr:pic>
        <xdr:nvPicPr>
          <xdr:cNvPr id="91" name="圖形 22" descr="箭號">
            <a:hlinkClick xmlns:r="http://schemas.openxmlformats.org/officeDocument/2006/relationships" r:id="rId13" tooltip="選取以從網路深入了解"/>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57</xdr:row>
      <xdr:rowOff>29086</xdr:rowOff>
    </xdr:from>
    <xdr:to>
      <xdr:col>1</xdr:col>
      <xdr:colOff>3486149</xdr:colOff>
      <xdr:row>59</xdr:row>
      <xdr:rowOff>12475</xdr:rowOff>
    </xdr:to>
    <xdr:grpSp>
      <xdr:nvGrpSpPr>
        <xdr:cNvPr id="92" name="群組 91">
          <a:extLst>
            <a:ext uri="{FF2B5EF4-FFF2-40B4-BE49-F238E27FC236}">
              <a16:creationId xmlns:a16="http://schemas.microsoft.com/office/drawing/2014/main" id="{1287D230-E85C-41F6-AC03-12C8065534DF}"/>
            </a:ext>
          </a:extLst>
        </xdr:cNvPr>
        <xdr:cNvGrpSpPr/>
      </xdr:nvGrpSpPr>
      <xdr:grpSpPr>
        <a:xfrm>
          <a:off x="552881" y="11535286"/>
          <a:ext cx="4057218" cy="364389"/>
          <a:chOff x="552881" y="11287636"/>
          <a:chExt cx="3800043" cy="364389"/>
        </a:xfrm>
      </xdr:grpSpPr>
      <xdr:sp macro="" textlink="">
        <xdr:nvSpPr>
          <xdr:cNvPr id="93" name="步驟" descr="進階 IF 陳述式，附有移至網路的超連結&#10;">
            <a:hlinkClick xmlns:r="http://schemas.openxmlformats.org/officeDocument/2006/relationships" r:id="rId14" tooltip="選取以在網路上深入了解如何計算巢狀公式 (一次一個步驟)"/>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評估</a:t>
            </a:r>
            <a:r>
              <a:rPr lang="zh-tw" sz="1100" u="sng"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巢狀公式 (一次一個步驟)</a:t>
            </a:r>
            <a:endPar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94" name="圖形 22" descr="箭號">
            <a:hlinkClick xmlns:r="http://schemas.openxmlformats.org/officeDocument/2006/relationships" r:id="rId14" tooltip="選取以從網路深入了解"/>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2881" y="11287636"/>
            <a:ext cx="492262" cy="364389"/>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8861251" cy="4704711"/>
    <xdr:grpSp>
      <xdr:nvGrpSpPr>
        <xdr:cNvPr id="32" name="群組 31">
          <a:extLst>
            <a:ext uri="{FF2B5EF4-FFF2-40B4-BE49-F238E27FC236}">
              <a16:creationId xmlns:a16="http://schemas.microsoft.com/office/drawing/2014/main" id="{6725C923-6B3B-4CCA-98A0-990F1C1B87A8}"/>
            </a:ext>
          </a:extLst>
        </xdr:cNvPr>
        <xdr:cNvGrpSpPr/>
      </xdr:nvGrpSpPr>
      <xdr:grpSpPr>
        <a:xfrm>
          <a:off x="333376" y="352425"/>
          <a:ext cx="8861251" cy="4704711"/>
          <a:chOff x="171451" y="285750"/>
          <a:chExt cx="8861251" cy="4704711"/>
        </a:xfrm>
      </xdr:grpSpPr>
      <xdr:grpSp>
        <xdr:nvGrpSpPr>
          <xdr:cNvPr id="13" name="群組 12">
            <a:extLst>
              <a:ext uri="{FF2B5EF4-FFF2-40B4-BE49-F238E27FC236}">
                <a16:creationId xmlns:a16="http://schemas.microsoft.com/office/drawing/2014/main" id="{3FA7D425-D370-44B8-8FA4-045B5D6E310A}"/>
              </a:ext>
            </a:extLst>
          </xdr:cNvPr>
          <xdr:cNvGrpSpPr/>
        </xdr:nvGrpSpPr>
        <xdr:grpSpPr>
          <a:xfrm>
            <a:off x="171451" y="285750"/>
            <a:ext cx="7955280" cy="4704711"/>
            <a:chOff x="171451" y="285750"/>
            <a:chExt cx="7955280" cy="4704711"/>
          </a:xfrm>
        </xdr:grpSpPr>
        <xdr:sp macro="" textlink="">
          <xdr:nvSpPr>
            <xdr:cNvPr id="30" name="矩形 29" descr="背景​​">
              <a:extLst>
                <a:ext uri="{FF2B5EF4-FFF2-40B4-BE49-F238E27FC236}">
                  <a16:creationId xmlns:a16="http://schemas.microsoft.com/office/drawing/2014/main" id="{7626CA03-671C-4586-BB83-B5B27BDAF61D}"/>
                </a:ext>
              </a:extLst>
            </xdr:cNvPr>
            <xdr:cNvSpPr/>
          </xdr:nvSpPr>
          <xdr:spPr>
            <a:xfrm>
              <a:off x="171451" y="285750"/>
              <a:ext cx="7955280" cy="466344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sp macro="" textlink="">
          <xdr:nvSpPr>
            <xdr:cNvPr id="31" name="矩形 30" descr="背景​​">
              <a:extLst>
                <a:ext uri="{FF2B5EF4-FFF2-40B4-BE49-F238E27FC236}">
                  <a16:creationId xmlns:a16="http://schemas.microsoft.com/office/drawing/2014/main" id="{0EF2E102-5A65-4310-A323-6E9410B364FE}"/>
                </a:ext>
              </a:extLst>
            </xdr:cNvPr>
            <xdr:cNvSpPr/>
          </xdr:nvSpPr>
          <xdr:spPr>
            <a:xfrm>
              <a:off x="171451" y="1332861"/>
              <a:ext cx="7955280" cy="3657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p>
          </xdr:txBody>
        </xdr:sp>
      </xdr:grpSp>
      <xdr:sp macro="" textlink="">
        <xdr:nvSpPr>
          <xdr:cNvPr id="14" name="歡迎訊息" descr="請繼續進行。還有許多種簡化工作的方法：">
            <a:extLst>
              <a:ext uri="{FF2B5EF4-FFF2-40B4-BE49-F238E27FC236}">
                <a16:creationId xmlns:a16="http://schemas.microsoft.com/office/drawing/2014/main" id="{914889AE-4E16-4A8A-A641-A17A3C6BFA28}"/>
              </a:ext>
            </a:extLst>
          </xdr:cNvPr>
          <xdr:cNvSpPr txBox="1"/>
        </xdr:nvSpPr>
        <xdr:spPr>
          <a:xfrm>
            <a:off x="780726" y="2084395"/>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zh-tw" sz="1600" b="0" i="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請繼續進行。還有更多 Excel 的相關知識：</a:t>
            </a:r>
            <a:endParaRPr lang="en-US" sz="16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5" name="歡迎訊息" descr="對 Excel 有其他問題嗎？">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zh-tw" sz="2600" b="0" i="0" baseline="0">
                <a:solidFill>
                  <a:schemeClr val="bg1"/>
                </a:solidFill>
                <a:effectLst/>
                <a:latin typeface="Microsoft JhengHei UI" panose="020B0604030504040204" pitchFamily="34" charset="-120"/>
                <a:ea typeface="Microsoft JhengHei UI" panose="020B0604030504040204" pitchFamily="34" charset="-120"/>
                <a:cs typeface="Segoe UI" pitchFamily="34" charset="0"/>
              </a:rPr>
              <a:t>對 Excel 有其他問其他題嗎？</a:t>
            </a:r>
            <a:endParaRPr lang="en-US" sz="2600" b="0">
              <a:latin typeface="Microsoft JhengHei UI" panose="020B0604030504040204" pitchFamily="34" charset="-120"/>
              <a:ea typeface="Microsoft JhengHei UI" panose="020B0604030504040204" pitchFamily="34" charset="-120"/>
              <a:cs typeface="Segoe UI" pitchFamily="34" charset="0"/>
            </a:endParaRPr>
          </a:p>
        </xdr:txBody>
      </xdr:sp>
      <xdr:sp macro="" textlink="">
        <xdr:nvSpPr>
          <xdr:cNvPr id="23" name="文字方塊 22" descr="深入了解">
            <a:hlinkClick xmlns:r="http://schemas.openxmlformats.org/officeDocument/2006/relationships" r:id="rId1" tooltip="在網路上深入了解 Excel 社群"/>
            <a:extLst>
              <a:ext uri="{FF2B5EF4-FFF2-40B4-BE49-F238E27FC236}">
                <a16:creationId xmlns:a16="http://schemas.microsoft.com/office/drawing/2014/main" id="{0E4F3BD9-1086-4455-B51C-A8936225A3CC}"/>
              </a:ext>
            </a:extLst>
          </xdr:cNvPr>
          <xdr:cNvSpPr txBox="1"/>
        </xdr:nvSpPr>
        <xdr:spPr>
          <a:xfrm>
            <a:off x="1805448" y="3539774"/>
            <a:ext cx="1222244" cy="860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深入了解 </a:t>
            </a:r>
            <a:br>
              <a:rPr lang="en-US" alt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br>
            <a:r>
              <a:rPr 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(僅提供英文版)</a:t>
            </a:r>
            <a:endParaRPr lang="en-US" sz="1200" b="1" u="sng">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Semibold" panose="020B0702040204020203" pitchFamily="34" charset="0"/>
            </a:endParaRPr>
          </a:p>
        </xdr:txBody>
      </xdr:sp>
      <xdr:sp macro="" textlink="">
        <xdr:nvSpPr>
          <xdr:cNvPr id="24" name="文字方塊 23" descr="深入了解">
            <a:hlinkClick xmlns:r="http://schemas.openxmlformats.org/officeDocument/2006/relationships" r:id="rId2" tooltip="在網路上深入了解 Excel 中的新增功能"/>
            <a:extLst>
              <a:ext uri="{FF2B5EF4-FFF2-40B4-BE49-F238E27FC236}">
                <a16:creationId xmlns:a16="http://schemas.microsoft.com/office/drawing/2014/main" id="{C99A8BC1-9314-4FC6-B158-3CC6B224F07E}"/>
              </a:ext>
            </a:extLst>
          </xdr:cNvPr>
          <xdr:cNvSpPr txBox="1"/>
        </xdr:nvSpPr>
        <xdr:spPr>
          <a:xfrm>
            <a:off x="5205167" y="3539775"/>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深入了解</a:t>
            </a:r>
            <a:endParaRPr lang="en-US" sz="1200" b="1" u="sng">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Semibold" panose="020B0702040204020203" pitchFamily="34" charset="0"/>
            </a:endParaRPr>
          </a:p>
        </xdr:txBody>
      </xdr:sp>
      <xdr:sp macro="" textlink="">
        <xdr:nvSpPr>
          <xdr:cNvPr id="25" name="文字方塊 24" descr="Community&#10;Ask questions and connect with other Excel fans">
            <a:hlinkClick xmlns:r="http://schemas.openxmlformats.org/officeDocument/2006/relationships" r:id="rId1" tooltip="在網路上深入了解 Excel 社群"/>
            <a:extLst>
              <a:ext uri="{FF2B5EF4-FFF2-40B4-BE49-F238E27FC236}">
                <a16:creationId xmlns:a16="http://schemas.microsoft.com/office/drawing/2014/main" id="{1293751F-7023-4F3D-A3F2-7A62FD5D2D64}"/>
              </a:ext>
            </a:extLst>
          </xdr:cNvPr>
          <xdr:cNvSpPr txBox="1"/>
        </xdr:nvSpPr>
        <xdr:spPr>
          <a:xfrm>
            <a:off x="1805448" y="2533649"/>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400" baseline="0">
                <a:solidFill>
                  <a:srgbClr val="217346"/>
                </a:solidFill>
                <a:effectLst/>
                <a:latin typeface="Segoe UI Light" panose="020B0502040204020203" pitchFamily="34" charset="0"/>
                <a:ea typeface="Microsoft JhengHei UI" panose="020B0604030504040204" pitchFamily="34" charset="-120"/>
                <a:cs typeface="Segoe UI Light" panose="020B0502040204020203" pitchFamily="34" charset="0"/>
              </a:rPr>
              <a:t>社群</a:t>
            </a:r>
          </a:p>
          <a:p>
            <a:pPr algn="l" rtl="0"/>
            <a:r>
              <a:rPr lang="zh-tw" sz="1100" baseline="0">
                <a:solidFill>
                  <a:schemeClr val="tx1">
                    <a:lumMod val="75000"/>
                    <a:lumOff val="25000"/>
                  </a:schemeClr>
                </a:solidFill>
                <a:effectLst/>
                <a:latin typeface="Segoe UI" panose="020B0502040204020203" pitchFamily="34" charset="0"/>
                <a:ea typeface="Microsoft JhengHei UI" panose="020B0604030504040204" pitchFamily="34" charset="-120"/>
                <a:cs typeface="Segoe UI" panose="020B0502040204020203" pitchFamily="34" charset="0"/>
              </a:rPr>
              <a:t>提出問題並與其他 Excel 粉絲交流互動。</a:t>
            </a:r>
          </a:p>
        </xdr:txBody>
      </xdr:sp>
      <xdr:sp macro="" textlink="">
        <xdr:nvSpPr>
          <xdr:cNvPr id="28" name="文字方塊 27" descr="What else is new?&#10;Office 365 subscribers get continual updates and new features">
            <a:hlinkClick xmlns:r="http://schemas.openxmlformats.org/officeDocument/2006/relationships" r:id="rId2" tooltip="在網路上深入了解 Excel 中的新增功能"/>
            <a:extLst>
              <a:ext uri="{FF2B5EF4-FFF2-40B4-BE49-F238E27FC236}">
                <a16:creationId xmlns:a16="http://schemas.microsoft.com/office/drawing/2014/main" id="{ECCFA6AB-0C67-4817-85A5-BD3EDB6C982F}"/>
              </a:ext>
            </a:extLst>
          </xdr:cNvPr>
          <xdr:cNvSpPr txBox="1"/>
        </xdr:nvSpPr>
        <xdr:spPr>
          <a:xfrm>
            <a:off x="5191126" y="2533650"/>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400" baseline="0">
                <a:solidFill>
                  <a:srgbClr val="217346"/>
                </a:solidFill>
                <a:effectLst/>
                <a:latin typeface="Segoe UI Light" panose="020B0502040204020203" pitchFamily="34" charset="0"/>
                <a:ea typeface="Microsoft JhengHei UI" panose="020B0604030504040204" pitchFamily="34" charset="-120"/>
                <a:cs typeface="Segoe UI Light" panose="020B0502040204020203" pitchFamily="34" charset="0"/>
              </a:rPr>
              <a:t>還有什麼新功能？</a:t>
            </a:r>
          </a:p>
          <a:p>
            <a:pPr algn="l" rtl="0"/>
            <a:r>
              <a:rPr lang="zh-tw" sz="1100" baseline="0">
                <a:solidFill>
                  <a:schemeClr val="tx1">
                    <a:lumMod val="75000"/>
                    <a:lumOff val="25000"/>
                  </a:schemeClr>
                </a:solidFill>
                <a:effectLst/>
                <a:latin typeface="Segoe UI" panose="020B0502040204020203" pitchFamily="34" charset="0"/>
                <a:ea typeface="Microsoft JhengHei UI" panose="020B0604030504040204" pitchFamily="34" charset="-120"/>
                <a:cs typeface="Segoe UI" panose="020B0502040204020203" pitchFamily="34" charset="0"/>
              </a:rPr>
              <a:t>Office 365 訂閱者會持續取得更新和新功能。</a:t>
            </a:r>
            <a:endParaRPr lang="en-US" sz="1100">
              <a:solidFill>
                <a:schemeClr val="tx1">
                  <a:lumMod val="75000"/>
                  <a:lumOff val="25000"/>
                </a:schemeClr>
              </a:solidFill>
              <a:latin typeface="Segoe UI" panose="020B0502040204020203" pitchFamily="34" charset="0"/>
              <a:ea typeface="Microsoft JhengHei UI" panose="020B0604030504040204" pitchFamily="34" charset="-120"/>
              <a:cs typeface="Segoe UI" panose="020B0502040204020203" pitchFamily="34" charset="0"/>
            </a:endParaRPr>
          </a:p>
        </xdr:txBody>
      </xdr:sp>
      <xdr:pic>
        <xdr:nvPicPr>
          <xdr:cNvPr id="29" name="圖片 28" descr="社群">
            <a:hlinkClick xmlns:r="http://schemas.openxmlformats.org/officeDocument/2006/relationships" r:id="rId1" tooltip="在網路上深入了解 Excel 社群"/>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3"/>
          <a:stretch>
            <a:fillRect/>
          </a:stretch>
        </xdr:blipFill>
        <xdr:spPr>
          <a:xfrm>
            <a:off x="876300" y="2676641"/>
            <a:ext cx="926984" cy="774603"/>
          </a:xfrm>
          <a:prstGeom prst="rect">
            <a:avLst/>
          </a:prstGeom>
        </xdr:spPr>
      </xdr:pic>
    </xdr:grpSp>
    <xdr:clientData/>
  </xdr:oneCellAnchor>
  <xdr:oneCellAnchor>
    <xdr:from>
      <xdr:col>1</xdr:col>
      <xdr:colOff>3593388</xdr:colOff>
      <xdr:row>12</xdr:row>
      <xdr:rowOff>60612</xdr:rowOff>
    </xdr:from>
    <xdr:ext cx="974505" cy="786961"/>
    <xdr:grpSp>
      <xdr:nvGrpSpPr>
        <xdr:cNvPr id="5" name="群組 4" descr="還有什麼新功能？">
          <a:hlinkClick xmlns:r="http://schemas.openxmlformats.org/officeDocument/2006/relationships" r:id="rId2" tooltip="在網路上深入了解 Excel 中的新增功能"/>
          <a:extLst>
            <a:ext uri="{FF2B5EF4-FFF2-40B4-BE49-F238E27FC236}">
              <a16:creationId xmlns:a16="http://schemas.microsoft.com/office/drawing/2014/main" id="{C26483B0-64DC-4BE9-92D8-7D9943F8404A}"/>
            </a:ext>
          </a:extLst>
        </xdr:cNvPr>
        <xdr:cNvGrpSpPr/>
      </xdr:nvGrpSpPr>
      <xdr:grpSpPr>
        <a:xfrm>
          <a:off x="4355388" y="2918112"/>
          <a:ext cx="974505" cy="786961"/>
          <a:chOff x="6717588" y="3592566"/>
          <a:chExt cx="974505" cy="786961"/>
        </a:xfrm>
      </xdr:grpSpPr>
      <xdr:pic>
        <xdr:nvPicPr>
          <xdr:cNvPr id="6" name="圖形 5" descr="報紙">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873201" y="3769928"/>
            <a:ext cx="669283" cy="609599"/>
          </a:xfrm>
          <a:prstGeom prst="rect">
            <a:avLst/>
          </a:prstGeom>
        </xdr:spPr>
      </xdr:pic>
      <xdr:grpSp>
        <xdr:nvGrpSpPr>
          <xdr:cNvPr id="7" name="群組 6" descr="放射狀線條">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直線接點 7" descr="線條">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直線接點​​ 8" descr="線條">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直線接點 9" descr="線條">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直線接點 10" descr="線條">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直線接點 11" descr="線條">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autoFilter ref="Z2:Z6" xr:uid="{00000000-0009-0000-0100-000001000000}"/>
  <tableColumns count="1">
    <tableColumn id="1" xr3:uid="{00000000-0010-0000-0000-000001000000}" name="水果" dataDxfId="12" dataCellStyle="灰色儲存格"/>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autoFilter ref="AB2:AB4" xr:uid="{00000000-0009-0000-0100-000002000000}"/>
  <tableColumns count="1">
    <tableColumn id="1" xr3:uid="{00000000-0010-0000-0100-000001000000}" name="蘋果" dataDxfId="9" dataCellStyle="灰色儲存格"/>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autoFilter ref="AD2:AD4" xr:uid="{00000000-0009-0000-0100-000003000000}"/>
  <tableColumns count="1">
    <tableColumn id="1" xr3:uid="{00000000-0010-0000-0200-000001000000}" name="橘子" dataDxfId="6" dataCellStyle="灰色儲存格"/>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autoFilter ref="AH2:AH4" xr:uid="{00000000-0009-0000-0100-000004000000}"/>
  <tableColumns count="1">
    <tableColumn id="1" xr3:uid="{00000000-0010-0000-0300-000001000000}" name="檸檬" dataDxfId="3" dataCellStyle="灰色儲存格"/>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autoFilter ref="AF2:AF4" xr:uid="{00000000-0009-0000-0100-000005000000}"/>
  <tableColumns count="1">
    <tableColumn id="1" xr3:uid="{00000000-0010-0000-0400-000001000000}" name="香蕉" dataDxfId="0" dataCellStyle="灰色儲存格"/>
  </tableColumns>
  <tableStyleInfo name="TableStyleMedium2" showFirstColumn="0" showLastColumn="0" showRowStripes="1" showColumnStripes="0"/>
</table>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support.office.com/zh-TW/article/what-s-new-in-excel-for-office-365-5fdb9208-ff33-45b6-9e08-1f5cdb3a6c73?ui=zh-TW&amp;rs=en-001&amp;ad=us" TargetMode="External"/><Relationship Id="rId1" Type="http://schemas.openxmlformats.org/officeDocument/2006/relationships/hyperlink" Target="https://techcommunity.microsoft.com/t5/excel/ct-p/excel_cat"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heetViews>
  <sheetFormatPr defaultColWidth="11.21875" defaultRowHeight="20.25" customHeight="1" x14ac:dyDescent="0.25"/>
  <cols>
    <col min="1" max="1" width="100.77734375" style="2" customWidth="1"/>
    <col min="2" max="2" width="3.6640625" style="2" customWidth="1"/>
    <col min="3" max="16384" width="11.21875" style="2"/>
  </cols>
  <sheetData>
    <row r="1" spans="1:1" ht="20.25" customHeight="1" x14ac:dyDescent="1">
      <c r="A1" s="1"/>
    </row>
    <row r="2" spans="1:1" ht="102" customHeight="1" x14ac:dyDescent="1">
      <c r="A2" s="1" t="s">
        <v>0</v>
      </c>
    </row>
    <row r="3" spans="1:1" ht="45" x14ac:dyDescent="0.35">
      <c r="A3" s="3" t="s">
        <v>270</v>
      </c>
    </row>
    <row r="4" spans="1:1" ht="264" customHeight="1" x14ac:dyDescent="0.25">
      <c r="A4" s="4" t="s">
        <v>1</v>
      </c>
    </row>
    <row r="5" spans="1:1" ht="20.25" customHeight="1" x14ac:dyDescent="0.35">
      <c r="A5" s="3"/>
    </row>
  </sheetData>
  <phoneticPr fontId="23" type="noConversion"/>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J86"/>
  <sheetViews>
    <sheetView showGridLines="0" zoomScaleNormal="100" workbookViewId="0">
      <selection activeCell="F3" sqref="F3"/>
    </sheetView>
  </sheetViews>
  <sheetFormatPr defaultColWidth="9.21875" defaultRowHeight="15" x14ac:dyDescent="0.25"/>
  <cols>
    <col min="1" max="1" width="12.77734375" style="11" customWidth="1"/>
    <col min="2" max="2" width="63.77734375" style="12" customWidth="1"/>
    <col min="3" max="3" width="14" style="12" customWidth="1"/>
    <col min="4" max="4" width="2.33203125" style="12" customWidth="1"/>
    <col min="5" max="5" width="18.109375" style="12" customWidth="1"/>
    <col min="6" max="6" width="15.77734375" style="12" customWidth="1"/>
    <col min="7" max="7" width="13.33203125" style="12" customWidth="1"/>
    <col min="8" max="10" width="9.21875" style="12"/>
    <col min="11" max="11" width="9.21875" style="12" customWidth="1"/>
    <col min="12" max="16384" width="9.21875" style="12"/>
  </cols>
  <sheetData>
    <row r="1" spans="1:7" ht="60" customHeight="1" x14ac:dyDescent="0.25">
      <c r="A1" s="11" t="s">
        <v>2</v>
      </c>
      <c r="C1" s="13"/>
      <c r="D1" s="24"/>
      <c r="E1" s="24"/>
      <c r="F1" s="24"/>
    </row>
    <row r="2" spans="1:7" ht="15.75" thickBot="1" x14ac:dyDescent="0.3">
      <c r="A2" s="11" t="s">
        <v>3</v>
      </c>
      <c r="C2" s="98" t="s">
        <v>30</v>
      </c>
      <c r="E2" s="28" t="s">
        <v>31</v>
      </c>
      <c r="F2" s="29" t="s">
        <v>37</v>
      </c>
      <c r="G2" s="29" t="s">
        <v>38</v>
      </c>
    </row>
    <row r="3" spans="1:7" ht="16.5" thickTop="1" thickBot="1" x14ac:dyDescent="0.3">
      <c r="A3" s="11" t="s">
        <v>4</v>
      </c>
      <c r="C3" s="40">
        <v>1</v>
      </c>
      <c r="E3" s="99" t="s">
        <v>32</v>
      </c>
      <c r="F3" s="100"/>
      <c r="G3" s="18">
        <f>C3+C4</f>
        <v>3</v>
      </c>
    </row>
    <row r="4" spans="1:7" ht="16.5" thickTop="1" thickBot="1" x14ac:dyDescent="0.3">
      <c r="A4" s="11" t="s">
        <v>5</v>
      </c>
      <c r="C4" s="40">
        <v>2</v>
      </c>
      <c r="E4" s="99" t="s">
        <v>33</v>
      </c>
      <c r="F4" s="100"/>
      <c r="G4" s="18">
        <f>C3-C4</f>
        <v>-1</v>
      </c>
    </row>
    <row r="5" spans="1:7" ht="15.75" thickTop="1" x14ac:dyDescent="0.25">
      <c r="A5" s="11" t="s">
        <v>6</v>
      </c>
      <c r="E5" s="99" t="s">
        <v>34</v>
      </c>
      <c r="F5" s="100"/>
      <c r="G5" s="18">
        <f>C3*C4</f>
        <v>2</v>
      </c>
    </row>
    <row r="6" spans="1:7" ht="15.75" thickBot="1" x14ac:dyDescent="0.3">
      <c r="A6" s="11" t="s">
        <v>7</v>
      </c>
      <c r="E6" s="99" t="s">
        <v>35</v>
      </c>
      <c r="F6" s="100"/>
      <c r="G6" s="18">
        <f>C3/C4</f>
        <v>0.5</v>
      </c>
    </row>
    <row r="7" spans="1:7" ht="15" customHeight="1" thickTop="1" thickBot="1" x14ac:dyDescent="0.3">
      <c r="A7" s="11" t="s">
        <v>8</v>
      </c>
      <c r="E7" s="99" t="s">
        <v>36</v>
      </c>
      <c r="F7" s="49"/>
      <c r="G7" s="18">
        <f>C3^C4</f>
        <v>1</v>
      </c>
    </row>
    <row r="8" spans="1:7" ht="15.75" thickTop="1" x14ac:dyDescent="0.25">
      <c r="A8" s="11" t="s">
        <v>9</v>
      </c>
    </row>
    <row r="9" spans="1:7" x14ac:dyDescent="0.25">
      <c r="A9" s="11" t="s">
        <v>10</v>
      </c>
    </row>
    <row r="10" spans="1:7" x14ac:dyDescent="0.25">
      <c r="A10" s="11" t="s">
        <v>11</v>
      </c>
    </row>
    <row r="11" spans="1:7" x14ac:dyDescent="0.25">
      <c r="A11" s="11" t="s">
        <v>12</v>
      </c>
    </row>
    <row r="12" spans="1:7" x14ac:dyDescent="0.25">
      <c r="A12" s="11" t="s">
        <v>13</v>
      </c>
    </row>
    <row r="13" spans="1:7" ht="15" customHeight="1" x14ac:dyDescent="0.25">
      <c r="A13" s="20" t="s">
        <v>14</v>
      </c>
    </row>
    <row r="14" spans="1:7" x14ac:dyDescent="0.25">
      <c r="A14" s="11" t="s">
        <v>15</v>
      </c>
    </row>
    <row r="15" spans="1:7" x14ac:dyDescent="0.25">
      <c r="A15" s="11" t="s">
        <v>16</v>
      </c>
    </row>
    <row r="16" spans="1:7" x14ac:dyDescent="0.25">
      <c r="A16" s="11" t="s">
        <v>17</v>
      </c>
    </row>
    <row r="17" spans="1:7" x14ac:dyDescent="0.25">
      <c r="A17" s="11" t="s">
        <v>18</v>
      </c>
    </row>
    <row r="18" spans="1:7" x14ac:dyDescent="0.25">
      <c r="A18" s="36" t="s">
        <v>277</v>
      </c>
    </row>
    <row r="19" spans="1:7" x14ac:dyDescent="0.25">
      <c r="A19" s="11" t="s">
        <v>19</v>
      </c>
    </row>
    <row r="20" spans="1:7" x14ac:dyDescent="0.25">
      <c r="A20" s="11" t="s">
        <v>20</v>
      </c>
    </row>
    <row r="21" spans="1:7" ht="15" customHeight="1" x14ac:dyDescent="0.25">
      <c r="A21" s="20" t="s">
        <v>21</v>
      </c>
    </row>
    <row r="22" spans="1:7" x14ac:dyDescent="0.25">
      <c r="A22" s="11" t="s">
        <v>22</v>
      </c>
    </row>
    <row r="23" spans="1:7" x14ac:dyDescent="0.25">
      <c r="A23" s="11" t="s">
        <v>23</v>
      </c>
    </row>
    <row r="24" spans="1:7" x14ac:dyDescent="0.25">
      <c r="A24" s="11" t="s">
        <v>24</v>
      </c>
    </row>
    <row r="25" spans="1:7" ht="28.5" x14ac:dyDescent="0.25">
      <c r="A25" s="11" t="s">
        <v>25</v>
      </c>
      <c r="C25" s="13"/>
      <c r="D25" s="24"/>
      <c r="E25" s="24"/>
      <c r="F25" s="24"/>
      <c r="G25" s="24"/>
    </row>
    <row r="26" spans="1:7" x14ac:dyDescent="0.25">
      <c r="A26" s="11" t="s">
        <v>26</v>
      </c>
    </row>
    <row r="27" spans="1:7" x14ac:dyDescent="0.25">
      <c r="A27" s="11" t="s">
        <v>27</v>
      </c>
    </row>
    <row r="28" spans="1:7" ht="27.75" x14ac:dyDescent="0.45">
      <c r="A28" s="11" t="s">
        <v>28</v>
      </c>
      <c r="E28" s="101"/>
    </row>
    <row r="29" spans="1:7" x14ac:dyDescent="0.25">
      <c r="A29" s="11" t="s">
        <v>29</v>
      </c>
    </row>
    <row r="40" spans="10:10" x14ac:dyDescent="0.25">
      <c r="J40" s="29" t="s">
        <v>39</v>
      </c>
    </row>
    <row r="41" spans="10:10" x14ac:dyDescent="0.25">
      <c r="J41" s="102">
        <v>4</v>
      </c>
    </row>
    <row r="42" spans="10:10" x14ac:dyDescent="0.25">
      <c r="J42" s="102">
        <v>8</v>
      </c>
    </row>
    <row r="43" spans="10:10" x14ac:dyDescent="0.25">
      <c r="J43" s="103">
        <f>SUM(J41:J42)</f>
        <v>12</v>
      </c>
    </row>
    <row r="64" spans="7:7" x14ac:dyDescent="0.25">
      <c r="G64" s="104"/>
    </row>
    <row r="65" spans="7:7" x14ac:dyDescent="0.25">
      <c r="G65" s="104"/>
    </row>
    <row r="66" spans="7:7" x14ac:dyDescent="0.25">
      <c r="G66" s="104"/>
    </row>
    <row r="67" spans="7:7" x14ac:dyDescent="0.25">
      <c r="G67" s="104"/>
    </row>
    <row r="86" ht="17.45" customHeight="1" x14ac:dyDescent="0.25"/>
  </sheetData>
  <phoneticPr fontId="23"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51"/>
  <sheetViews>
    <sheetView showGridLines="0" zoomScaleNormal="100" zoomScalePageLayoutView="125" workbookViewId="0">
      <selection activeCell="G15" sqref="G15"/>
    </sheetView>
  </sheetViews>
  <sheetFormatPr defaultColWidth="8.88671875" defaultRowHeight="15" customHeight="1" x14ac:dyDescent="0.25"/>
  <cols>
    <col min="1" max="1" width="12.77734375" style="5" customWidth="1"/>
    <col min="2" max="2" width="63.77734375" style="86" customWidth="1"/>
    <col min="3" max="4" width="13.33203125" style="86" customWidth="1"/>
    <col min="5" max="5" width="2.33203125" style="86" customWidth="1"/>
    <col min="6" max="6" width="16.109375" style="86" customWidth="1"/>
    <col min="7" max="7" width="13.33203125" style="86" customWidth="1"/>
    <col min="8" max="16384" width="8.88671875" style="86"/>
  </cols>
  <sheetData>
    <row r="1" spans="1:13" ht="60" customHeight="1" x14ac:dyDescent="0.5">
      <c r="A1" s="5" t="s">
        <v>40</v>
      </c>
      <c r="B1" s="84"/>
      <c r="C1" s="13"/>
      <c r="D1" s="85"/>
      <c r="E1" s="85"/>
      <c r="F1" s="85"/>
      <c r="G1" s="85"/>
    </row>
    <row r="2" spans="1:13" ht="15" customHeight="1" x14ac:dyDescent="0.25">
      <c r="A2" s="5" t="s">
        <v>41</v>
      </c>
      <c r="C2" s="28" t="s">
        <v>55</v>
      </c>
      <c r="D2" s="29" t="s">
        <v>71</v>
      </c>
      <c r="F2" s="28" t="s">
        <v>74</v>
      </c>
      <c r="G2" s="29" t="s">
        <v>71</v>
      </c>
    </row>
    <row r="3" spans="1:13" ht="15" customHeight="1" x14ac:dyDescent="0.25">
      <c r="A3" s="10" t="s">
        <v>42</v>
      </c>
      <c r="B3" s="87"/>
      <c r="C3" s="88" t="s">
        <v>56</v>
      </c>
      <c r="D3" s="88">
        <v>50</v>
      </c>
      <c r="F3" s="88" t="s">
        <v>75</v>
      </c>
      <c r="G3" s="88">
        <v>50</v>
      </c>
    </row>
    <row r="4" spans="1:13" ht="15" customHeight="1" x14ac:dyDescent="0.25">
      <c r="A4" s="10" t="s">
        <v>301</v>
      </c>
      <c r="C4" s="88" t="s">
        <v>57</v>
      </c>
      <c r="D4" s="88">
        <v>20</v>
      </c>
      <c r="E4" s="89"/>
      <c r="F4" s="88" t="s">
        <v>76</v>
      </c>
      <c r="G4" s="88">
        <v>30</v>
      </c>
    </row>
    <row r="5" spans="1:13" s="89" customFormat="1" ht="15" customHeight="1" x14ac:dyDescent="0.25">
      <c r="A5" s="5" t="s">
        <v>43</v>
      </c>
      <c r="C5" s="88" t="s">
        <v>58</v>
      </c>
      <c r="D5" s="88">
        <v>60</v>
      </c>
      <c r="F5" s="88" t="s">
        <v>77</v>
      </c>
      <c r="G5" s="88">
        <v>10</v>
      </c>
    </row>
    <row r="6" spans="1:13" s="89" customFormat="1" ht="15" customHeight="1" x14ac:dyDescent="0.25">
      <c r="A6" s="5" t="s">
        <v>10</v>
      </c>
      <c r="B6" s="90"/>
      <c r="C6" s="88" t="s">
        <v>59</v>
      </c>
      <c r="D6" s="91">
        <v>40</v>
      </c>
      <c r="F6" s="88" t="s">
        <v>78</v>
      </c>
      <c r="G6" s="91">
        <v>50</v>
      </c>
    </row>
    <row r="7" spans="1:13" s="89" customFormat="1" ht="15" customHeight="1" x14ac:dyDescent="0.25">
      <c r="A7" s="5" t="s">
        <v>44</v>
      </c>
      <c r="C7" s="92" t="s">
        <v>60</v>
      </c>
      <c r="D7" s="93">
        <f>SUM(D3:D6)</f>
        <v>170</v>
      </c>
      <c r="F7" s="92" t="s">
        <v>60</v>
      </c>
      <c r="G7" s="93"/>
      <c r="M7" s="12"/>
    </row>
    <row r="8" spans="1:13" s="89" customFormat="1" ht="15" customHeight="1" x14ac:dyDescent="0.25">
      <c r="A8" s="5" t="s">
        <v>11</v>
      </c>
      <c r="M8" s="12"/>
    </row>
    <row r="9" spans="1:13" s="89" customFormat="1" ht="15" customHeight="1" x14ac:dyDescent="0.25">
      <c r="A9" s="5" t="s">
        <v>45</v>
      </c>
      <c r="C9" s="28" t="s">
        <v>61</v>
      </c>
      <c r="D9" s="29" t="s">
        <v>72</v>
      </c>
      <c r="F9" s="28" t="s">
        <v>61</v>
      </c>
      <c r="G9" s="29" t="s">
        <v>71</v>
      </c>
      <c r="M9" s="12"/>
    </row>
    <row r="10" spans="1:13" s="89" customFormat="1" ht="15" customHeight="1" x14ac:dyDescent="0.25">
      <c r="A10" s="11" t="s">
        <v>46</v>
      </c>
      <c r="C10" s="88" t="s">
        <v>62</v>
      </c>
      <c r="D10" s="88">
        <v>50</v>
      </c>
      <c r="F10" s="88" t="s">
        <v>62</v>
      </c>
      <c r="G10" s="88">
        <v>50</v>
      </c>
      <c r="M10" s="12"/>
    </row>
    <row r="11" spans="1:13" s="89" customFormat="1" ht="15" customHeight="1" x14ac:dyDescent="0.25">
      <c r="A11" s="10" t="s">
        <v>47</v>
      </c>
      <c r="C11" s="88" t="s">
        <v>63</v>
      </c>
      <c r="D11" s="88">
        <v>100</v>
      </c>
      <c r="F11" s="88" t="s">
        <v>63</v>
      </c>
      <c r="G11" s="88">
        <v>100</v>
      </c>
      <c r="M11" s="12"/>
    </row>
    <row r="12" spans="1:13" s="89" customFormat="1" ht="15" customHeight="1" x14ac:dyDescent="0.25">
      <c r="A12" s="5" t="s">
        <v>48</v>
      </c>
      <c r="C12" s="88" t="s">
        <v>64</v>
      </c>
      <c r="D12" s="88">
        <v>40</v>
      </c>
      <c r="F12" s="88" t="s">
        <v>64</v>
      </c>
      <c r="G12" s="88">
        <v>40</v>
      </c>
      <c r="M12" s="12"/>
    </row>
    <row r="13" spans="1:13" s="89" customFormat="1" ht="15" customHeight="1" x14ac:dyDescent="0.25">
      <c r="A13" s="5" t="s">
        <v>49</v>
      </c>
      <c r="C13" s="88" t="s">
        <v>65</v>
      </c>
      <c r="D13" s="88">
        <v>50</v>
      </c>
      <c r="F13" s="88" t="s">
        <v>65</v>
      </c>
      <c r="G13" s="88">
        <v>50</v>
      </c>
      <c r="M13" s="12"/>
    </row>
    <row r="14" spans="1:13" s="89" customFormat="1" ht="15" customHeight="1" thickBot="1" x14ac:dyDescent="0.3">
      <c r="A14" s="94" t="s">
        <v>50</v>
      </c>
      <c r="C14" s="88" t="s">
        <v>66</v>
      </c>
      <c r="D14" s="88">
        <v>20</v>
      </c>
      <c r="F14" s="88" t="s">
        <v>66</v>
      </c>
      <c r="G14" s="88">
        <v>20</v>
      </c>
      <c r="M14" s="12"/>
    </row>
    <row r="15" spans="1:13" s="89" customFormat="1" ht="15" customHeight="1" thickTop="1" thickBot="1" x14ac:dyDescent="0.3">
      <c r="A15" s="5" t="s">
        <v>24</v>
      </c>
      <c r="C15" s="92" t="s">
        <v>60</v>
      </c>
      <c r="D15" s="95"/>
      <c r="F15" s="92" t="s">
        <v>79</v>
      </c>
      <c r="G15" s="49"/>
      <c r="M15" s="12"/>
    </row>
    <row r="16" spans="1:13" s="89" customFormat="1" ht="15" customHeight="1" thickTop="1" x14ac:dyDescent="0.25">
      <c r="A16" s="5" t="s">
        <v>51</v>
      </c>
      <c r="M16" s="12"/>
    </row>
    <row r="17" spans="1:13" s="89" customFormat="1" ht="15" customHeight="1" x14ac:dyDescent="0.25">
      <c r="A17" s="5" t="s">
        <v>52</v>
      </c>
      <c r="M17" s="12"/>
    </row>
    <row r="18" spans="1:13" s="89" customFormat="1" ht="15" customHeight="1" x14ac:dyDescent="0.25">
      <c r="A18" s="5" t="s">
        <v>53</v>
      </c>
      <c r="M18" s="12"/>
    </row>
    <row r="19" spans="1:13" s="89" customFormat="1" ht="15" customHeight="1" x14ac:dyDescent="0.25">
      <c r="A19" s="5" t="s">
        <v>29</v>
      </c>
      <c r="C19" s="12"/>
      <c r="M19" s="12"/>
    </row>
    <row r="20" spans="1:13" s="89" customFormat="1" ht="15" customHeight="1" x14ac:dyDescent="0.25">
      <c r="A20" s="5" t="s">
        <v>54</v>
      </c>
      <c r="M20" s="12"/>
    </row>
    <row r="21" spans="1:13" s="89" customFormat="1" ht="15" customHeight="1" x14ac:dyDescent="0.25">
      <c r="A21" s="5" t="s">
        <v>11</v>
      </c>
      <c r="M21" s="12"/>
    </row>
    <row r="22" spans="1:13" s="89" customFormat="1" ht="15" customHeight="1" x14ac:dyDescent="0.25">
      <c r="A22" s="5"/>
      <c r="M22" s="12"/>
    </row>
    <row r="23" spans="1:13" s="89" customFormat="1" ht="15" customHeight="1" x14ac:dyDescent="0.25">
      <c r="A23" s="5"/>
    </row>
    <row r="26" spans="1:13" ht="15" customHeight="1" x14ac:dyDescent="0.25">
      <c r="H26" s="12"/>
    </row>
    <row r="34" spans="3:7" ht="15" customHeight="1" x14ac:dyDescent="0.25">
      <c r="C34" s="28" t="s">
        <v>55</v>
      </c>
      <c r="D34" s="29" t="s">
        <v>72</v>
      </c>
    </row>
    <row r="35" spans="3:7" ht="15" customHeight="1" x14ac:dyDescent="0.25">
      <c r="C35" s="88" t="s">
        <v>56</v>
      </c>
      <c r="D35" s="88">
        <v>50</v>
      </c>
      <c r="E35" s="89"/>
    </row>
    <row r="36" spans="3:7" ht="15" customHeight="1" x14ac:dyDescent="0.25">
      <c r="C36" s="88" t="s">
        <v>57</v>
      </c>
      <c r="D36" s="88">
        <v>20</v>
      </c>
      <c r="E36" s="89"/>
    </row>
    <row r="37" spans="3:7" ht="15" customHeight="1" x14ac:dyDescent="0.25">
      <c r="C37" s="88" t="s">
        <v>58</v>
      </c>
      <c r="D37" s="88">
        <v>60</v>
      </c>
      <c r="E37" s="89"/>
    </row>
    <row r="38" spans="3:7" ht="15" customHeight="1" x14ac:dyDescent="0.25">
      <c r="C38" s="88" t="s">
        <v>59</v>
      </c>
      <c r="D38" s="88">
        <v>40</v>
      </c>
      <c r="E38" s="89"/>
    </row>
    <row r="39" spans="3:7" ht="15" customHeight="1" x14ac:dyDescent="0.25">
      <c r="C39" s="92" t="s">
        <v>60</v>
      </c>
      <c r="D39" s="95">
        <f>SUM(D35:D38)</f>
        <v>170</v>
      </c>
      <c r="E39" s="89"/>
      <c r="F39" s="89"/>
      <c r="G39" s="89"/>
    </row>
    <row r="44" spans="3:7" ht="15" customHeight="1" x14ac:dyDescent="0.25">
      <c r="C44" s="28" t="s">
        <v>61</v>
      </c>
      <c r="D44" s="29" t="s">
        <v>71</v>
      </c>
      <c r="E44" s="89"/>
    </row>
    <row r="45" spans="3:7" ht="15" customHeight="1" x14ac:dyDescent="0.25">
      <c r="C45" s="88" t="s">
        <v>67</v>
      </c>
      <c r="D45" s="88">
        <v>20</v>
      </c>
      <c r="E45" s="89"/>
    </row>
    <row r="46" spans="3:7" ht="15" customHeight="1" x14ac:dyDescent="0.25">
      <c r="C46" s="88" t="s">
        <v>68</v>
      </c>
      <c r="D46" s="88">
        <v>10</v>
      </c>
      <c r="E46" s="89"/>
    </row>
    <row r="47" spans="3:7" ht="15" customHeight="1" x14ac:dyDescent="0.25">
      <c r="C47" s="88" t="s">
        <v>69</v>
      </c>
      <c r="D47" s="88">
        <v>10</v>
      </c>
      <c r="E47" s="89"/>
    </row>
    <row r="48" spans="3:7" ht="15" customHeight="1" x14ac:dyDescent="0.25">
      <c r="C48" s="88" t="s">
        <v>70</v>
      </c>
      <c r="D48" s="88">
        <v>40</v>
      </c>
      <c r="E48" s="89"/>
    </row>
    <row r="50" spans="4:7" ht="15" customHeight="1" x14ac:dyDescent="0.25">
      <c r="D50" s="29" t="s">
        <v>73</v>
      </c>
      <c r="F50" s="29" t="s">
        <v>80</v>
      </c>
      <c r="G50" s="29" t="s">
        <v>81</v>
      </c>
    </row>
    <row r="51" spans="4:7" ht="15" customHeight="1" x14ac:dyDescent="0.25">
      <c r="D51" s="96">
        <f>SUM(D45:D48,100)</f>
        <v>180</v>
      </c>
      <c r="F51" s="97">
        <v>100</v>
      </c>
      <c r="G51" s="97">
        <f>SUM(D45:D48,F51)</f>
        <v>180</v>
      </c>
    </row>
  </sheetData>
  <phoneticPr fontId="23"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workbookViewId="0">
      <selection activeCell="D7" sqref="D7"/>
    </sheetView>
  </sheetViews>
  <sheetFormatPr defaultColWidth="8.88671875" defaultRowHeight="15" x14ac:dyDescent="0.25"/>
  <cols>
    <col min="1" max="1" width="12.77734375" style="11" customWidth="1"/>
    <col min="2" max="2" width="63.77734375" style="2" customWidth="1"/>
    <col min="3" max="3" width="13.33203125" style="5" customWidth="1"/>
    <col min="4" max="4" width="13.33203125" style="2" customWidth="1"/>
    <col min="5" max="5" width="2.33203125" style="2" customWidth="1"/>
    <col min="6" max="6" width="13.33203125" style="21" customWidth="1"/>
    <col min="7" max="7" width="13.33203125" style="2" customWidth="1"/>
    <col min="8" max="16384" width="8.88671875" style="2"/>
  </cols>
  <sheetData>
    <row r="1" spans="1:10" ht="60" customHeight="1" x14ac:dyDescent="0.25">
      <c r="A1" s="11" t="s">
        <v>82</v>
      </c>
      <c r="C1" s="13"/>
      <c r="D1" s="27"/>
      <c r="E1" s="27"/>
      <c r="F1" s="27"/>
      <c r="G1" s="27"/>
    </row>
    <row r="2" spans="1:10" ht="15" customHeight="1" x14ac:dyDescent="0.25">
      <c r="A2" s="11" t="s">
        <v>273</v>
      </c>
      <c r="C2" s="28" t="s">
        <v>55</v>
      </c>
      <c r="D2" s="29" t="s">
        <v>71</v>
      </c>
      <c r="E2" s="30"/>
      <c r="F2" s="78" t="s">
        <v>74</v>
      </c>
      <c r="G2" s="29" t="s">
        <v>71</v>
      </c>
      <c r="J2" s="31"/>
    </row>
    <row r="3" spans="1:10" ht="15" customHeight="1" x14ac:dyDescent="0.25">
      <c r="A3" s="11" t="s">
        <v>274</v>
      </c>
      <c r="C3" s="53" t="s">
        <v>56</v>
      </c>
      <c r="D3" s="19">
        <v>50</v>
      </c>
      <c r="E3" s="30"/>
      <c r="F3" s="53" t="s">
        <v>75</v>
      </c>
      <c r="G3" s="19">
        <v>50</v>
      </c>
      <c r="J3" s="31"/>
    </row>
    <row r="4" spans="1:10" ht="15" customHeight="1" x14ac:dyDescent="0.25">
      <c r="A4" s="11" t="s">
        <v>275</v>
      </c>
      <c r="C4" s="53" t="s">
        <v>57</v>
      </c>
      <c r="D4" s="19">
        <v>20</v>
      </c>
      <c r="E4" s="30"/>
      <c r="F4" s="53" t="s">
        <v>76</v>
      </c>
      <c r="G4" s="19">
        <v>30</v>
      </c>
      <c r="J4" s="31"/>
    </row>
    <row r="5" spans="1:10" s="21" customFormat="1" ht="15" customHeight="1" x14ac:dyDescent="0.25">
      <c r="A5" s="11" t="s">
        <v>276</v>
      </c>
      <c r="C5" s="53" t="s">
        <v>58</v>
      </c>
      <c r="D5" s="19">
        <v>60</v>
      </c>
      <c r="E5" s="30"/>
      <c r="F5" s="53" t="s">
        <v>77</v>
      </c>
      <c r="G5" s="19">
        <v>10</v>
      </c>
      <c r="J5" s="31"/>
    </row>
    <row r="6" spans="1:10" s="21" customFormat="1" ht="15" customHeight="1" x14ac:dyDescent="0.25">
      <c r="A6" s="11" t="s">
        <v>83</v>
      </c>
      <c r="C6" s="53" t="s">
        <v>59</v>
      </c>
      <c r="D6" s="19">
        <v>40</v>
      </c>
      <c r="E6" s="30"/>
      <c r="F6" s="53" t="s">
        <v>78</v>
      </c>
      <c r="G6" s="19">
        <v>50</v>
      </c>
      <c r="J6" s="31"/>
    </row>
    <row r="7" spans="1:10" s="21" customFormat="1" ht="15" customHeight="1" x14ac:dyDescent="0.25">
      <c r="A7" s="11" t="s">
        <v>84</v>
      </c>
      <c r="C7" s="34" t="s">
        <v>92</v>
      </c>
      <c r="D7" s="81"/>
      <c r="E7" s="30"/>
      <c r="F7" s="34" t="s">
        <v>92</v>
      </c>
      <c r="G7" s="81"/>
      <c r="J7" s="31"/>
    </row>
    <row r="8" spans="1:10" s="21" customFormat="1" ht="15" customHeight="1" x14ac:dyDescent="0.25">
      <c r="A8" s="11" t="s">
        <v>85</v>
      </c>
      <c r="D8" s="30"/>
      <c r="E8" s="30"/>
      <c r="G8" s="30"/>
      <c r="J8" s="31"/>
    </row>
    <row r="9" spans="1:10" s="21" customFormat="1" ht="15" customHeight="1" x14ac:dyDescent="0.25">
      <c r="A9" s="11" t="s">
        <v>86</v>
      </c>
      <c r="C9" s="28" t="s">
        <v>61</v>
      </c>
      <c r="D9" s="29" t="s">
        <v>71</v>
      </c>
      <c r="E9" s="30"/>
      <c r="F9" s="78" t="s">
        <v>61</v>
      </c>
      <c r="G9" s="29" t="s">
        <v>71</v>
      </c>
      <c r="J9" s="31"/>
    </row>
    <row r="10" spans="1:10" s="21" customFormat="1" ht="15" customHeight="1" x14ac:dyDescent="0.25">
      <c r="A10" s="11" t="s">
        <v>87</v>
      </c>
      <c r="C10" s="53" t="s">
        <v>62</v>
      </c>
      <c r="D10" s="19">
        <v>50</v>
      </c>
      <c r="E10" s="30"/>
      <c r="F10" s="53" t="s">
        <v>62</v>
      </c>
      <c r="G10" s="19">
        <v>50</v>
      </c>
      <c r="J10" s="31"/>
    </row>
    <row r="11" spans="1:10" s="21" customFormat="1" ht="15" customHeight="1" x14ac:dyDescent="0.25">
      <c r="A11" s="11" t="s">
        <v>88</v>
      </c>
      <c r="C11" s="53" t="s">
        <v>63</v>
      </c>
      <c r="D11" s="19">
        <v>100</v>
      </c>
      <c r="E11" s="30"/>
      <c r="F11" s="53" t="s">
        <v>63</v>
      </c>
      <c r="G11" s="19">
        <v>100</v>
      </c>
      <c r="J11" s="31"/>
    </row>
    <row r="12" spans="1:10" s="21" customFormat="1" ht="15" customHeight="1" x14ac:dyDescent="0.25">
      <c r="A12" s="11" t="s">
        <v>89</v>
      </c>
      <c r="C12" s="53" t="s">
        <v>64</v>
      </c>
      <c r="D12" s="19">
        <v>40</v>
      </c>
      <c r="E12" s="30"/>
      <c r="F12" s="53" t="s">
        <v>64</v>
      </c>
      <c r="G12" s="19">
        <v>40</v>
      </c>
      <c r="J12" s="31"/>
    </row>
    <row r="13" spans="1:10" s="21" customFormat="1" ht="15" customHeight="1" x14ac:dyDescent="0.25">
      <c r="A13" s="11" t="s">
        <v>90</v>
      </c>
      <c r="C13" s="53" t="s">
        <v>65</v>
      </c>
      <c r="D13" s="19">
        <v>50</v>
      </c>
      <c r="E13" s="30"/>
      <c r="F13" s="53" t="s">
        <v>65</v>
      </c>
      <c r="G13" s="19">
        <v>50</v>
      </c>
      <c r="J13" s="31"/>
    </row>
    <row r="14" spans="1:10" s="21" customFormat="1" ht="15" customHeight="1" thickBot="1" x14ac:dyDescent="0.3">
      <c r="A14" s="11" t="s">
        <v>91</v>
      </c>
      <c r="C14" s="53" t="s">
        <v>66</v>
      </c>
      <c r="D14" s="19">
        <v>20</v>
      </c>
      <c r="E14" s="30"/>
      <c r="F14" s="53" t="s">
        <v>66</v>
      </c>
      <c r="G14" s="19">
        <v>20</v>
      </c>
    </row>
    <row r="15" spans="1:10" s="21" customFormat="1" ht="15" customHeight="1" thickTop="1" thickBot="1" x14ac:dyDescent="0.3">
      <c r="A15" s="11"/>
      <c r="C15" s="34" t="s">
        <v>92</v>
      </c>
      <c r="D15" s="81"/>
      <c r="E15" s="30"/>
      <c r="G15" s="40"/>
    </row>
    <row r="16" spans="1:10" s="21" customFormat="1" ht="15" customHeight="1" thickTop="1" x14ac:dyDescent="0.25">
      <c r="A16" s="11"/>
    </row>
    <row r="17" spans="1:3" s="21" customFormat="1" ht="15" customHeight="1" x14ac:dyDescent="0.25">
      <c r="A17" s="11"/>
      <c r="C17" s="5"/>
    </row>
    <row r="18" spans="1:3" s="21" customFormat="1" ht="15" customHeight="1" x14ac:dyDescent="0.25">
      <c r="A18" s="11"/>
      <c r="C18" s="5"/>
    </row>
    <row r="19" spans="1:3" s="21" customFormat="1" ht="15" customHeight="1" x14ac:dyDescent="0.25">
      <c r="A19" s="11"/>
      <c r="C19" s="5"/>
    </row>
    <row r="20" spans="1:3" s="21" customFormat="1" ht="15" customHeight="1" x14ac:dyDescent="0.25">
      <c r="A20" s="11"/>
      <c r="C20" s="5"/>
    </row>
    <row r="21" spans="1:3" s="21" customFormat="1" ht="15" customHeight="1" x14ac:dyDescent="0.25">
      <c r="A21" s="11"/>
      <c r="C21" s="5"/>
    </row>
    <row r="22" spans="1:3" s="21" customFormat="1" ht="15" customHeight="1" x14ac:dyDescent="0.25">
      <c r="A22" s="11"/>
      <c r="C22" s="5"/>
    </row>
    <row r="23" spans="1:3" s="21" customFormat="1" ht="15" customHeight="1" x14ac:dyDescent="0.25">
      <c r="A23" s="11"/>
      <c r="C23" s="5"/>
    </row>
    <row r="24" spans="1:3" s="21" customFormat="1" ht="15" customHeight="1" x14ac:dyDescent="0.25">
      <c r="A24" s="11"/>
      <c r="C24" s="5"/>
    </row>
    <row r="25" spans="1:3" s="21" customFormat="1" ht="15" customHeight="1" x14ac:dyDescent="0.25">
      <c r="A25" s="11"/>
      <c r="C25" s="5"/>
    </row>
    <row r="26" spans="1:3" s="21" customFormat="1" ht="15" customHeight="1" x14ac:dyDescent="0.25">
      <c r="A26" s="11"/>
      <c r="C26" s="5"/>
    </row>
    <row r="29" spans="1:3" ht="15" customHeight="1" x14ac:dyDescent="0.25"/>
    <row r="30" spans="1:3" ht="15" customHeight="1" x14ac:dyDescent="0.25"/>
    <row r="31" spans="1:3" ht="15" customHeight="1" x14ac:dyDescent="0.25"/>
    <row r="32" spans="1:3" ht="15" customHeight="1" x14ac:dyDescent="0.25"/>
    <row r="33" ht="15" customHeight="1" x14ac:dyDescent="0.25"/>
    <row r="34" ht="15" customHeight="1" x14ac:dyDescent="0.25"/>
    <row r="35" ht="15" customHeight="1" x14ac:dyDescent="0.25"/>
    <row r="41" ht="15" customHeight="1" x14ac:dyDescent="0.25"/>
    <row r="42" ht="15" customHeight="1" x14ac:dyDescent="0.25"/>
    <row r="43" ht="15" customHeight="1" x14ac:dyDescent="0.25"/>
    <row r="44" ht="15" customHeight="1" x14ac:dyDescent="0.25"/>
    <row r="45" ht="15" customHeight="1" x14ac:dyDescent="0.25"/>
    <row r="46" ht="15" customHeight="1" x14ac:dyDescent="0.25"/>
  </sheetData>
  <phoneticPr fontId="23" type="noConversion"/>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workbookViewId="0">
      <selection activeCell="D7" sqref="D7"/>
    </sheetView>
  </sheetViews>
  <sheetFormatPr defaultColWidth="8.88671875" defaultRowHeight="15" x14ac:dyDescent="0.25"/>
  <cols>
    <col min="1" max="1" width="12.77734375" style="76" customWidth="1"/>
    <col min="2" max="2" width="63.77734375" style="2" customWidth="1"/>
    <col min="3" max="3" width="13.33203125" style="2" customWidth="1"/>
    <col min="4" max="4" width="13.33203125" style="21" customWidth="1"/>
    <col min="5" max="5" width="2.33203125" style="2" customWidth="1"/>
    <col min="6" max="7" width="13.33203125" style="2" customWidth="1"/>
    <col min="8" max="16384" width="8.88671875" style="2"/>
  </cols>
  <sheetData>
    <row r="1" spans="1:8" ht="60" customHeight="1" x14ac:dyDescent="0.25">
      <c r="A1" s="76" t="s">
        <v>95</v>
      </c>
      <c r="C1" s="13"/>
      <c r="D1" s="27"/>
      <c r="E1" s="27"/>
      <c r="F1" s="27"/>
      <c r="G1" s="27"/>
    </row>
    <row r="2" spans="1:8" ht="15" customHeight="1" x14ac:dyDescent="0.25">
      <c r="A2" s="77" t="s">
        <v>271</v>
      </c>
      <c r="C2" s="28" t="s">
        <v>55</v>
      </c>
      <c r="D2" s="29" t="s">
        <v>71</v>
      </c>
      <c r="E2" s="30"/>
      <c r="F2" s="78" t="s">
        <v>74</v>
      </c>
      <c r="G2" s="29" t="s">
        <v>71</v>
      </c>
      <c r="H2" s="31"/>
    </row>
    <row r="3" spans="1:8" ht="15" customHeight="1" x14ac:dyDescent="0.25">
      <c r="A3" s="77" t="s">
        <v>272</v>
      </c>
      <c r="C3" s="18" t="s">
        <v>56</v>
      </c>
      <c r="D3" s="19">
        <v>50</v>
      </c>
      <c r="E3" s="30"/>
      <c r="F3" s="53" t="s">
        <v>75</v>
      </c>
      <c r="G3" s="19">
        <v>50</v>
      </c>
      <c r="H3" s="31"/>
    </row>
    <row r="4" spans="1:8" ht="15" customHeight="1" x14ac:dyDescent="0.25">
      <c r="A4" s="79" t="s">
        <v>96</v>
      </c>
      <c r="C4" s="18" t="s">
        <v>57</v>
      </c>
      <c r="D4" s="19">
        <v>20</v>
      </c>
      <c r="E4" s="30"/>
      <c r="F4" s="53" t="s">
        <v>76</v>
      </c>
      <c r="G4" s="19">
        <v>30</v>
      </c>
      <c r="H4" s="31"/>
    </row>
    <row r="5" spans="1:8" s="21" customFormat="1" ht="15" customHeight="1" x14ac:dyDescent="0.25">
      <c r="A5" s="79" t="s">
        <v>294</v>
      </c>
      <c r="C5" s="18" t="s">
        <v>58</v>
      </c>
      <c r="D5" s="19">
        <v>60</v>
      </c>
      <c r="E5" s="30"/>
      <c r="F5" s="53" t="s">
        <v>77</v>
      </c>
      <c r="G5" s="19">
        <v>10</v>
      </c>
      <c r="H5" s="31"/>
    </row>
    <row r="6" spans="1:8" s="21" customFormat="1" ht="15" customHeight="1" x14ac:dyDescent="0.25">
      <c r="A6" s="79" t="s">
        <v>97</v>
      </c>
      <c r="C6" s="18" t="s">
        <v>59</v>
      </c>
      <c r="D6" s="19">
        <v>40</v>
      </c>
      <c r="E6" s="30"/>
      <c r="F6" s="53" t="s">
        <v>78</v>
      </c>
      <c r="G6" s="19">
        <v>50</v>
      </c>
      <c r="H6" s="31"/>
    </row>
    <row r="7" spans="1:8" s="21" customFormat="1" ht="15" customHeight="1" x14ac:dyDescent="0.25">
      <c r="A7" s="80" t="s">
        <v>98</v>
      </c>
      <c r="C7" s="34" t="s">
        <v>102</v>
      </c>
      <c r="D7" s="81"/>
      <c r="E7" s="30"/>
      <c r="F7" s="34" t="s">
        <v>104</v>
      </c>
      <c r="G7" s="81"/>
      <c r="H7" s="31"/>
    </row>
    <row r="8" spans="1:8" s="21" customFormat="1" ht="15" customHeight="1" x14ac:dyDescent="0.25">
      <c r="A8" s="82" t="s">
        <v>99</v>
      </c>
      <c r="D8" s="30"/>
      <c r="E8" s="30"/>
      <c r="G8" s="30"/>
      <c r="H8" s="31"/>
    </row>
    <row r="9" spans="1:8" s="21" customFormat="1" ht="15" customHeight="1" x14ac:dyDescent="0.25">
      <c r="A9" s="82" t="s">
        <v>100</v>
      </c>
      <c r="C9" s="28" t="s">
        <v>61</v>
      </c>
      <c r="D9" s="29" t="s">
        <v>71</v>
      </c>
      <c r="E9" s="30"/>
      <c r="F9" s="78" t="s">
        <v>61</v>
      </c>
      <c r="G9" s="29" t="s">
        <v>71</v>
      </c>
      <c r="H9" s="31"/>
    </row>
    <row r="10" spans="1:8" s="21" customFormat="1" ht="15" customHeight="1" x14ac:dyDescent="0.25">
      <c r="A10" s="77" t="s">
        <v>29</v>
      </c>
      <c r="C10" s="18" t="s">
        <v>62</v>
      </c>
      <c r="D10" s="19">
        <v>50</v>
      </c>
      <c r="E10" s="30"/>
      <c r="F10" s="53" t="s">
        <v>62</v>
      </c>
      <c r="G10" s="19">
        <v>50</v>
      </c>
      <c r="H10" s="31"/>
    </row>
    <row r="11" spans="1:8" s="21" customFormat="1" ht="15" customHeight="1" x14ac:dyDescent="0.25">
      <c r="A11" s="80" t="s">
        <v>101</v>
      </c>
      <c r="C11" s="18" t="s">
        <v>63</v>
      </c>
      <c r="D11" s="19">
        <v>100</v>
      </c>
      <c r="E11" s="30"/>
      <c r="F11" s="53" t="s">
        <v>63</v>
      </c>
      <c r="G11" s="19">
        <v>100</v>
      </c>
      <c r="H11" s="31"/>
    </row>
    <row r="12" spans="1:8" s="21" customFormat="1" ht="15" customHeight="1" x14ac:dyDescent="0.25">
      <c r="A12" s="82"/>
      <c r="C12" s="18" t="s">
        <v>64</v>
      </c>
      <c r="D12" s="19">
        <v>40</v>
      </c>
      <c r="E12" s="30"/>
      <c r="F12" s="53" t="s">
        <v>64</v>
      </c>
      <c r="G12" s="19">
        <v>40</v>
      </c>
      <c r="H12" s="31"/>
    </row>
    <row r="13" spans="1:8" s="21" customFormat="1" ht="15" customHeight="1" x14ac:dyDescent="0.25">
      <c r="A13" s="82"/>
      <c r="C13" s="18" t="s">
        <v>65</v>
      </c>
      <c r="D13" s="19">
        <v>50</v>
      </c>
      <c r="E13" s="30"/>
      <c r="F13" s="53" t="s">
        <v>65</v>
      </c>
      <c r="G13" s="19">
        <v>50</v>
      </c>
      <c r="H13" s="31"/>
    </row>
    <row r="14" spans="1:8" s="21" customFormat="1" ht="15" customHeight="1" x14ac:dyDescent="0.25">
      <c r="A14" s="82"/>
      <c r="C14" s="18" t="s">
        <v>66</v>
      </c>
      <c r="D14" s="19">
        <v>20</v>
      </c>
      <c r="E14" s="30"/>
      <c r="F14" s="53" t="s">
        <v>66</v>
      </c>
      <c r="G14" s="19">
        <v>20</v>
      </c>
    </row>
    <row r="15" spans="1:8" s="21" customFormat="1" ht="15" customHeight="1" x14ac:dyDescent="0.25">
      <c r="A15" s="76"/>
      <c r="C15" s="34" t="s">
        <v>103</v>
      </c>
      <c r="D15" s="81"/>
      <c r="E15" s="30"/>
      <c r="F15" s="34"/>
      <c r="G15" s="81">
        <f>MIN(G10:G14,10)</f>
        <v>10</v>
      </c>
    </row>
    <row r="16" spans="1:8" s="21" customFormat="1" ht="15" customHeight="1" x14ac:dyDescent="0.25">
      <c r="A16" s="76"/>
    </row>
    <row r="17" spans="1:1" s="21" customFormat="1" ht="15" customHeight="1" x14ac:dyDescent="0.25">
      <c r="A17" s="76"/>
    </row>
    <row r="18" spans="1:1" s="21" customFormat="1" ht="15" customHeight="1" x14ac:dyDescent="0.25">
      <c r="A18" s="83"/>
    </row>
    <row r="19" spans="1:1" s="21" customFormat="1" ht="15" customHeight="1" x14ac:dyDescent="0.25">
      <c r="A19" s="77"/>
    </row>
    <row r="20" spans="1:1" s="21" customFormat="1" ht="15" customHeight="1" x14ac:dyDescent="0.25">
      <c r="A20" s="76"/>
    </row>
    <row r="21" spans="1:1" s="21" customFormat="1" ht="15" customHeight="1" x14ac:dyDescent="0.25">
      <c r="A21" s="77"/>
    </row>
    <row r="22" spans="1:1" s="21" customFormat="1" ht="15" customHeight="1" x14ac:dyDescent="0.25">
      <c r="A22" s="77"/>
    </row>
    <row r="23" spans="1:1" s="21" customFormat="1" ht="15" customHeight="1" x14ac:dyDescent="0.25">
      <c r="A23" s="77"/>
    </row>
    <row r="24" spans="1:1" s="21" customFormat="1" ht="15" customHeight="1" x14ac:dyDescent="0.25">
      <c r="A24" s="77"/>
    </row>
    <row r="25" spans="1:1" s="21" customFormat="1" ht="15" customHeight="1" x14ac:dyDescent="0.25">
      <c r="A25" s="77"/>
    </row>
    <row r="27" spans="1:1" ht="15" customHeight="1" x14ac:dyDescent="0.25"/>
    <row r="28" spans="1:1" ht="15" customHeight="1" x14ac:dyDescent="0.25"/>
    <row r="29" spans="1:1" ht="15" customHeight="1" x14ac:dyDescent="0.25"/>
    <row r="30" spans="1:1" ht="15" customHeight="1" x14ac:dyDescent="0.25"/>
    <row r="31" spans="1:1" ht="15" customHeight="1" x14ac:dyDescent="0.25"/>
    <row r="32" spans="1:1" ht="15" customHeight="1" x14ac:dyDescent="0.25"/>
    <row r="33" ht="15" customHeight="1" x14ac:dyDescent="0.25"/>
    <row r="39" ht="15" customHeight="1" x14ac:dyDescent="0.25"/>
    <row r="40" ht="15" customHeight="1" x14ac:dyDescent="0.25"/>
    <row r="41" ht="15" customHeight="1" x14ac:dyDescent="0.25"/>
    <row r="42" ht="15" customHeight="1" x14ac:dyDescent="0.25"/>
    <row r="43" ht="15" customHeight="1" x14ac:dyDescent="0.25"/>
    <row r="44" ht="15" customHeight="1" x14ac:dyDescent="0.25"/>
  </sheetData>
  <phoneticPr fontId="23" type="noConversion"/>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workbookViewId="0">
      <selection activeCell="D6" sqref="D6"/>
    </sheetView>
  </sheetViews>
  <sheetFormatPr defaultRowHeight="15" x14ac:dyDescent="0.25"/>
  <cols>
    <col min="1" max="1" width="12.77734375" style="12" customWidth="1"/>
    <col min="2" max="2" width="63.77734375" style="12" customWidth="1"/>
    <col min="3" max="3" width="23.109375" style="12" customWidth="1"/>
    <col min="4" max="4" width="15.21875" style="12" customWidth="1"/>
    <col min="5" max="16384" width="8.88671875" style="12"/>
  </cols>
  <sheetData>
    <row r="1" spans="1:6" ht="60" customHeight="1" x14ac:dyDescent="0.25">
      <c r="A1" s="11" t="s">
        <v>105</v>
      </c>
    </row>
    <row r="2" spans="1:6" x14ac:dyDescent="0.25">
      <c r="A2" s="11" t="s">
        <v>106</v>
      </c>
    </row>
    <row r="3" spans="1:6" ht="28.5" x14ac:dyDescent="0.25">
      <c r="A3" s="11" t="s">
        <v>107</v>
      </c>
      <c r="C3" s="13"/>
      <c r="D3" s="24"/>
    </row>
    <row r="4" spans="1:6" x14ac:dyDescent="0.25">
      <c r="A4" s="11" t="s">
        <v>108</v>
      </c>
    </row>
    <row r="5" spans="1:6" x14ac:dyDescent="0.25">
      <c r="A5" s="11" t="s">
        <v>109</v>
      </c>
      <c r="C5" s="109" t="s">
        <v>105</v>
      </c>
      <c r="D5" s="109"/>
    </row>
    <row r="6" spans="1:6" ht="16.5" customHeight="1" x14ac:dyDescent="0.25">
      <c r="A6" s="11" t="s">
        <v>110</v>
      </c>
      <c r="C6" s="18" t="s">
        <v>120</v>
      </c>
      <c r="D6" s="71"/>
      <c r="F6" s="72" t="str">
        <f ca="1">IF(D6=TODAY(),"答對了!","")</f>
        <v/>
      </c>
    </row>
    <row r="7" spans="1:6" ht="16.5" customHeight="1" thickBot="1" x14ac:dyDescent="0.3">
      <c r="A7" s="20" t="s">
        <v>111</v>
      </c>
      <c r="C7" s="18" t="s">
        <v>121</v>
      </c>
      <c r="D7" s="71"/>
    </row>
    <row r="8" spans="1:6" ht="16.5" customHeight="1" thickTop="1" thickBot="1" x14ac:dyDescent="0.3">
      <c r="A8" s="11" t="s">
        <v>112</v>
      </c>
      <c r="C8" s="18" t="s">
        <v>122</v>
      </c>
      <c r="D8" s="73">
        <f>D7-D6</f>
        <v>0</v>
      </c>
    </row>
    <row r="9" spans="1:6" ht="15.75" thickTop="1" x14ac:dyDescent="0.25">
      <c r="A9" s="11" t="s">
        <v>113</v>
      </c>
    </row>
    <row r="10" spans="1:6" ht="15" customHeight="1" thickBot="1" x14ac:dyDescent="0.3">
      <c r="A10" s="20" t="s">
        <v>114</v>
      </c>
      <c r="C10" s="18" t="s">
        <v>123</v>
      </c>
      <c r="D10" s="69"/>
    </row>
    <row r="11" spans="1:6" ht="15" customHeight="1" thickTop="1" thickBot="1" x14ac:dyDescent="0.3">
      <c r="A11" s="20" t="s">
        <v>115</v>
      </c>
      <c r="C11" s="18" t="s">
        <v>124</v>
      </c>
      <c r="D11" s="74">
        <f>D6+D10</f>
        <v>0</v>
      </c>
    </row>
    <row r="12" spans="1:6" ht="15.75" thickTop="1" x14ac:dyDescent="0.25">
      <c r="A12" s="11" t="s">
        <v>116</v>
      </c>
    </row>
    <row r="13" spans="1:6" x14ac:dyDescent="0.25">
      <c r="A13" s="11" t="s">
        <v>22</v>
      </c>
    </row>
    <row r="14" spans="1:6" x14ac:dyDescent="0.25">
      <c r="A14" s="11" t="s">
        <v>23</v>
      </c>
    </row>
    <row r="15" spans="1:6" x14ac:dyDescent="0.25">
      <c r="A15" s="11" t="s">
        <v>24</v>
      </c>
    </row>
    <row r="16" spans="1:6" x14ac:dyDescent="0.25">
      <c r="A16" s="11" t="s">
        <v>117</v>
      </c>
    </row>
    <row r="17" spans="1:4" x14ac:dyDescent="0.25">
      <c r="A17" s="11" t="s">
        <v>118</v>
      </c>
    </row>
    <row r="18" spans="1:4" x14ac:dyDescent="0.25">
      <c r="A18" s="11" t="s">
        <v>119</v>
      </c>
    </row>
    <row r="19" spans="1:4" x14ac:dyDescent="0.25">
      <c r="A19" s="11" t="s">
        <v>29</v>
      </c>
    </row>
    <row r="25" spans="1:4" ht="15" customHeight="1" x14ac:dyDescent="0.25">
      <c r="C25" s="13"/>
      <c r="D25" s="24"/>
    </row>
    <row r="27" spans="1:4" x14ac:dyDescent="0.25">
      <c r="C27" s="109" t="s">
        <v>112</v>
      </c>
      <c r="D27" s="109"/>
    </row>
    <row r="28" spans="1:4" x14ac:dyDescent="0.25">
      <c r="C28" s="18" t="s">
        <v>125</v>
      </c>
      <c r="D28" s="108"/>
    </row>
    <row r="31" spans="1:4" x14ac:dyDescent="0.25">
      <c r="C31" s="109" t="s">
        <v>126</v>
      </c>
      <c r="D31" s="109"/>
    </row>
    <row r="32" spans="1:4" x14ac:dyDescent="0.25">
      <c r="C32" s="18" t="s">
        <v>127</v>
      </c>
      <c r="D32" s="105">
        <v>0.33333333333333331</v>
      </c>
    </row>
    <row r="33" spans="3:4" x14ac:dyDescent="0.25">
      <c r="C33" s="18" t="s">
        <v>128</v>
      </c>
      <c r="D33" s="105">
        <v>0.5</v>
      </c>
    </row>
    <row r="34" spans="3:4" x14ac:dyDescent="0.25">
      <c r="C34" s="18" t="s">
        <v>129</v>
      </c>
      <c r="D34" s="105">
        <v>0.54166666666666663</v>
      </c>
    </row>
    <row r="35" spans="3:4" ht="15.75" thickBot="1" x14ac:dyDescent="0.3">
      <c r="C35" s="18" t="s">
        <v>130</v>
      </c>
      <c r="D35" s="105">
        <v>0.70833333333333337</v>
      </c>
    </row>
    <row r="36" spans="3:4" ht="16.5" thickTop="1" thickBot="1" x14ac:dyDescent="0.3">
      <c r="C36" s="18" t="s">
        <v>131</v>
      </c>
      <c r="D36" s="73">
        <f>((D35-D32)-(D34-D33))*24</f>
        <v>8.0000000000000018</v>
      </c>
    </row>
    <row r="37" spans="3:4" ht="15.75" thickTop="1" x14ac:dyDescent="0.25"/>
    <row r="45" spans="3:4" x14ac:dyDescent="0.25">
      <c r="C45" s="110" t="s">
        <v>132</v>
      </c>
      <c r="D45" s="110"/>
    </row>
    <row r="46" spans="3:4" x14ac:dyDescent="0.25">
      <c r="C46" s="18" t="s">
        <v>133</v>
      </c>
      <c r="D46" s="75">
        <v>43005</v>
      </c>
    </row>
    <row r="47" spans="3:4" x14ac:dyDescent="0.25">
      <c r="C47" s="18" t="s">
        <v>134</v>
      </c>
      <c r="D47" s="106">
        <v>0.36944444444444446</v>
      </c>
    </row>
  </sheetData>
  <mergeCells count="4">
    <mergeCell ref="C27:D27"/>
    <mergeCell ref="C31:D31"/>
    <mergeCell ref="C45:D45"/>
    <mergeCell ref="C5:D5"/>
  </mergeCells>
  <phoneticPr fontId="23" type="noConversion"/>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zoomScaleNormal="100" workbookViewId="0">
      <selection activeCell="E3" sqref="E3"/>
    </sheetView>
  </sheetViews>
  <sheetFormatPr defaultRowHeight="15" x14ac:dyDescent="0.25"/>
  <cols>
    <col min="1" max="1" width="12.77734375" style="11" customWidth="1"/>
    <col min="2" max="2" width="63.77734375" style="12" customWidth="1"/>
    <col min="3" max="3" width="16.33203125" style="12" customWidth="1"/>
    <col min="4" max="4" width="15.109375" style="12" customWidth="1"/>
    <col min="5" max="5" width="21.109375" style="12" customWidth="1"/>
    <col min="6" max="6" width="18.33203125" style="12" customWidth="1"/>
    <col min="7" max="16384" width="8.88671875" style="12"/>
  </cols>
  <sheetData>
    <row r="1" spans="1:6" ht="60" customHeight="1" x14ac:dyDescent="0.25">
      <c r="A1" s="11" t="s">
        <v>135</v>
      </c>
      <c r="C1" s="13"/>
      <c r="D1" s="24"/>
      <c r="E1" s="24"/>
      <c r="F1" s="24"/>
    </row>
    <row r="2" spans="1:6" x14ac:dyDescent="0.25">
      <c r="A2" s="11" t="s">
        <v>136</v>
      </c>
      <c r="C2" s="28" t="s">
        <v>144</v>
      </c>
      <c r="D2" s="28" t="s">
        <v>147</v>
      </c>
      <c r="E2" s="28" t="s">
        <v>148</v>
      </c>
      <c r="F2" s="28" t="s">
        <v>149</v>
      </c>
    </row>
    <row r="3" spans="1:6" x14ac:dyDescent="0.25">
      <c r="A3" s="11" t="s">
        <v>137</v>
      </c>
      <c r="C3" s="18" t="s">
        <v>293</v>
      </c>
      <c r="D3" s="18" t="s">
        <v>278</v>
      </c>
      <c r="E3" s="69" t="str">
        <f>D3&amp;", "&amp;C3</f>
        <v>Smith, Nancy</v>
      </c>
      <c r="F3" s="70" t="str">
        <f>C3&amp;" "&amp;D3</f>
        <v>Nancy Smith</v>
      </c>
    </row>
    <row r="4" spans="1:6" ht="15" customHeight="1" x14ac:dyDescent="0.25">
      <c r="A4" s="20" t="s">
        <v>300</v>
      </c>
      <c r="C4" s="18" t="s">
        <v>279</v>
      </c>
      <c r="D4" s="18" t="s">
        <v>280</v>
      </c>
      <c r="E4" s="69"/>
      <c r="F4" s="70"/>
    </row>
    <row r="5" spans="1:6" x14ac:dyDescent="0.25">
      <c r="A5" s="11" t="s">
        <v>138</v>
      </c>
      <c r="C5" s="18" t="s">
        <v>281</v>
      </c>
      <c r="D5" s="18" t="s">
        <v>282</v>
      </c>
      <c r="E5" s="69"/>
      <c r="F5" s="70"/>
    </row>
    <row r="6" spans="1:6" x14ac:dyDescent="0.25">
      <c r="A6" s="11" t="s">
        <v>10</v>
      </c>
      <c r="C6" s="18" t="s">
        <v>283</v>
      </c>
      <c r="D6" s="18" t="s">
        <v>284</v>
      </c>
      <c r="E6" s="69"/>
      <c r="F6" s="70"/>
    </row>
    <row r="7" spans="1:6" x14ac:dyDescent="0.25">
      <c r="A7" s="11" t="s">
        <v>23</v>
      </c>
      <c r="C7" s="18" t="s">
        <v>285</v>
      </c>
      <c r="D7" s="18" t="s">
        <v>286</v>
      </c>
      <c r="E7" s="69"/>
      <c r="F7" s="70"/>
    </row>
    <row r="8" spans="1:6" x14ac:dyDescent="0.25">
      <c r="A8" s="11" t="s">
        <v>139</v>
      </c>
      <c r="C8" s="18" t="s">
        <v>287</v>
      </c>
      <c r="D8" s="18" t="s">
        <v>288</v>
      </c>
      <c r="E8" s="69"/>
      <c r="F8" s="70"/>
    </row>
    <row r="9" spans="1:6" x14ac:dyDescent="0.25">
      <c r="A9" s="11" t="s">
        <v>140</v>
      </c>
      <c r="C9" s="18" t="s">
        <v>289</v>
      </c>
      <c r="D9" s="18" t="s">
        <v>290</v>
      </c>
      <c r="E9" s="69"/>
      <c r="F9" s="70"/>
    </row>
    <row r="10" spans="1:6" ht="15" customHeight="1" x14ac:dyDescent="0.25">
      <c r="A10" s="20" t="s">
        <v>299</v>
      </c>
      <c r="C10" s="18" t="s">
        <v>291</v>
      </c>
      <c r="D10" s="18" t="s">
        <v>292</v>
      </c>
      <c r="E10" s="69"/>
      <c r="F10" s="70"/>
    </row>
    <row r="11" spans="1:6" ht="15" customHeight="1" x14ac:dyDescent="0.25">
      <c r="A11" s="20" t="s">
        <v>298</v>
      </c>
    </row>
    <row r="12" spans="1:6" ht="15" customHeight="1" x14ac:dyDescent="0.25">
      <c r="A12" s="20" t="s">
        <v>297</v>
      </c>
    </row>
    <row r="13" spans="1:6" ht="15" customHeight="1" x14ac:dyDescent="0.25">
      <c r="A13" s="20" t="s">
        <v>141</v>
      </c>
    </row>
    <row r="14" spans="1:6" x14ac:dyDescent="0.25">
      <c r="A14" s="11" t="s">
        <v>24</v>
      </c>
    </row>
    <row r="15" spans="1:6" x14ac:dyDescent="0.25">
      <c r="A15" s="11" t="s">
        <v>142</v>
      </c>
    </row>
    <row r="16" spans="1:6" x14ac:dyDescent="0.25">
      <c r="A16" s="11" t="s">
        <v>143</v>
      </c>
    </row>
    <row r="17" spans="1:4" x14ac:dyDescent="0.25">
      <c r="A17" s="11" t="s">
        <v>29</v>
      </c>
    </row>
    <row r="21" spans="1:4" x14ac:dyDescent="0.25">
      <c r="D21" s="60"/>
    </row>
    <row r="27" spans="1:4" x14ac:dyDescent="0.25">
      <c r="C27" s="109" t="s">
        <v>145</v>
      </c>
      <c r="D27" s="109"/>
    </row>
    <row r="28" spans="1:4" x14ac:dyDescent="0.25">
      <c r="C28" s="18" t="s">
        <v>120</v>
      </c>
      <c r="D28" s="71">
        <f ca="1">TODAY()</f>
        <v>46123</v>
      </c>
    </row>
    <row r="29" spans="1:4" x14ac:dyDescent="0.25">
      <c r="C29" s="18" t="s">
        <v>125</v>
      </c>
      <c r="D29" s="107">
        <f ca="1">NOW()</f>
        <v>46123.80588576389</v>
      </c>
    </row>
    <row r="31" spans="1:4" x14ac:dyDescent="0.25">
      <c r="C31" s="110" t="s">
        <v>143</v>
      </c>
      <c r="D31" s="110"/>
    </row>
    <row r="32" spans="1:4" x14ac:dyDescent="0.25">
      <c r="C32" s="18" t="str">
        <f ca="1">C28&amp;" "&amp;D28</f>
        <v>今天的日期： 46123</v>
      </c>
      <c r="D32" s="18"/>
    </row>
    <row r="33" spans="3:4" x14ac:dyDescent="0.25">
      <c r="C33" s="18" t="str">
        <f ca="1">C29&amp;" "&amp;D29</f>
        <v>目前時間： 46123.8058857639</v>
      </c>
      <c r="D33" s="18"/>
    </row>
    <row r="35" spans="3:4" x14ac:dyDescent="0.25">
      <c r="C35" s="111" t="s">
        <v>146</v>
      </c>
      <c r="D35" s="111"/>
    </row>
    <row r="36" spans="3:4" x14ac:dyDescent="0.25">
      <c r="C36" s="70" t="str">
        <f ca="1">C28 &amp;" "&amp; TEXT(D28,"YYYY年M月D日")</f>
        <v>今天的日期： 2026年4月11日</v>
      </c>
      <c r="D36" s="70"/>
    </row>
    <row r="37" spans="3:4" x14ac:dyDescent="0.25">
      <c r="C37" s="70" t="str">
        <f ca="1">C29&amp;" "&amp;TEXT(D29,"H:MM")</f>
        <v>目前時間： 19:20</v>
      </c>
      <c r="D37" s="70"/>
    </row>
  </sheetData>
  <mergeCells count="3">
    <mergeCell ref="C27:D27"/>
    <mergeCell ref="C31:D31"/>
    <mergeCell ref="C35:D35"/>
  </mergeCells>
  <phoneticPr fontId="23"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workbookViewId="0">
      <selection activeCell="D9" sqref="D9"/>
    </sheetView>
  </sheetViews>
  <sheetFormatPr defaultRowHeight="15" x14ac:dyDescent="0.25"/>
  <cols>
    <col min="1" max="1" width="12.77734375" style="12" customWidth="1"/>
    <col min="2" max="2" width="63.77734375" style="12" customWidth="1"/>
    <col min="3" max="3" width="17.21875" style="12" customWidth="1"/>
    <col min="4" max="4" width="26.21875" style="12" customWidth="1"/>
    <col min="5" max="6" width="9.6640625" style="12" bestFit="1" customWidth="1"/>
    <col min="7" max="16384" width="8.88671875" style="12"/>
  </cols>
  <sheetData>
    <row r="1" spans="1:6" ht="60" customHeight="1" x14ac:dyDescent="0.25">
      <c r="A1" s="11" t="s">
        <v>150</v>
      </c>
      <c r="D1" s="24"/>
    </row>
    <row r="2" spans="1:6" x14ac:dyDescent="0.25">
      <c r="A2" s="11" t="s">
        <v>151</v>
      </c>
      <c r="E2" s="57"/>
      <c r="F2" s="57"/>
    </row>
    <row r="3" spans="1:6" ht="15" customHeight="1" x14ac:dyDescent="0.25">
      <c r="A3" s="20" t="s">
        <v>152</v>
      </c>
      <c r="E3" s="57"/>
      <c r="F3" s="57"/>
    </row>
    <row r="4" spans="1:6" ht="15" customHeight="1" x14ac:dyDescent="0.25">
      <c r="A4" s="20" t="s">
        <v>153</v>
      </c>
      <c r="E4" s="57"/>
      <c r="F4" s="57"/>
    </row>
    <row r="5" spans="1:6" ht="15" customHeight="1" x14ac:dyDescent="0.25">
      <c r="A5" s="20" t="s">
        <v>154</v>
      </c>
      <c r="C5" s="50"/>
      <c r="E5" s="57"/>
      <c r="F5" s="57"/>
    </row>
    <row r="6" spans="1:6" ht="15" customHeight="1" x14ac:dyDescent="0.25">
      <c r="A6" s="20" t="s">
        <v>296</v>
      </c>
      <c r="E6" s="57"/>
      <c r="F6" s="57"/>
    </row>
    <row r="7" spans="1:6" x14ac:dyDescent="0.25">
      <c r="A7" s="11" t="s">
        <v>10</v>
      </c>
      <c r="C7" s="57"/>
      <c r="D7" s="57"/>
      <c r="E7" s="57"/>
      <c r="F7" s="57"/>
    </row>
    <row r="8" spans="1:6" x14ac:dyDescent="0.25">
      <c r="A8" s="11" t="s">
        <v>23</v>
      </c>
      <c r="C8" s="112" t="s">
        <v>150</v>
      </c>
      <c r="D8" s="112"/>
    </row>
    <row r="9" spans="1:6" x14ac:dyDescent="0.25">
      <c r="A9" s="11" t="s">
        <v>155</v>
      </c>
      <c r="C9" s="58" t="s">
        <v>56</v>
      </c>
      <c r="D9" s="41"/>
    </row>
    <row r="10" spans="1:6" x14ac:dyDescent="0.25">
      <c r="A10" s="11" t="s">
        <v>156</v>
      </c>
      <c r="C10" s="58" t="s">
        <v>57</v>
      </c>
      <c r="D10" s="41"/>
    </row>
    <row r="11" spans="1:6" ht="15" customHeight="1" thickBot="1" x14ac:dyDescent="0.3">
      <c r="A11" s="20" t="s">
        <v>157</v>
      </c>
      <c r="C11" s="57"/>
      <c r="D11" s="57"/>
    </row>
    <row r="12" spans="1:6" ht="15" customHeight="1" thickTop="1" thickBot="1" x14ac:dyDescent="0.3">
      <c r="A12" s="20" t="s">
        <v>158</v>
      </c>
      <c r="C12" s="59">
        <v>50</v>
      </c>
      <c r="D12" s="41" t="str">
        <f>IF(C12&lt;100,"小於100","大於或等於100")</f>
        <v>小於100</v>
      </c>
    </row>
    <row r="13" spans="1:6" ht="15" customHeight="1" thickTop="1" x14ac:dyDescent="0.25">
      <c r="A13" s="20" t="s">
        <v>159</v>
      </c>
    </row>
    <row r="14" spans="1:6" x14ac:dyDescent="0.25">
      <c r="A14" s="11" t="s">
        <v>160</v>
      </c>
    </row>
    <row r="15" spans="1:6" ht="15" customHeight="1" x14ac:dyDescent="0.25">
      <c r="A15" s="20" t="s">
        <v>161</v>
      </c>
    </row>
    <row r="16" spans="1:6" x14ac:dyDescent="0.25">
      <c r="A16" s="11" t="s">
        <v>22</v>
      </c>
    </row>
    <row r="17" spans="1:6" x14ac:dyDescent="0.25">
      <c r="A17" s="11" t="s">
        <v>23</v>
      </c>
    </row>
    <row r="18" spans="1:6" x14ac:dyDescent="0.25">
      <c r="A18" s="11" t="s">
        <v>24</v>
      </c>
      <c r="C18" s="60"/>
    </row>
    <row r="19" spans="1:6" x14ac:dyDescent="0.25">
      <c r="A19" s="11" t="s">
        <v>162</v>
      </c>
    </row>
    <row r="20" spans="1:6" x14ac:dyDescent="0.25">
      <c r="A20" s="11" t="s">
        <v>163</v>
      </c>
    </row>
    <row r="21" spans="1:6" x14ac:dyDescent="0.25">
      <c r="A21" s="11" t="s">
        <v>164</v>
      </c>
    </row>
    <row r="22" spans="1:6" x14ac:dyDescent="0.25">
      <c r="A22" s="11" t="s">
        <v>29</v>
      </c>
    </row>
    <row r="26" spans="1:6" ht="15.75" thickBot="1" x14ac:dyDescent="0.3"/>
    <row r="27" spans="1:6" ht="15.75" thickBot="1" x14ac:dyDescent="0.3">
      <c r="C27" s="61" t="s">
        <v>61</v>
      </c>
      <c r="D27" s="62" t="s">
        <v>71</v>
      </c>
      <c r="E27" s="62" t="s">
        <v>171</v>
      </c>
      <c r="F27" s="62" t="s">
        <v>170</v>
      </c>
    </row>
    <row r="28" spans="1:6" x14ac:dyDescent="0.25">
      <c r="C28" s="63" t="s">
        <v>165</v>
      </c>
      <c r="D28" s="63">
        <v>2</v>
      </c>
      <c r="E28" s="64">
        <v>9.7607115856835538</v>
      </c>
      <c r="F28" s="64" cm="1">
        <f t="array" ref="F28:F29">'IF 陳述式'!$E$28:$E$29*'IF 陳述式'!$D$28:$D$29</f>
        <v>19.521423171367108</v>
      </c>
    </row>
    <row r="29" spans="1:6" ht="15.75" thickBot="1" x14ac:dyDescent="0.3">
      <c r="C29" s="65" t="s">
        <v>166</v>
      </c>
      <c r="D29" s="65">
        <v>3</v>
      </c>
      <c r="E29" s="66">
        <v>3.4189202461080024</v>
      </c>
      <c r="F29" s="66">
        <v>10.256760738324008</v>
      </c>
    </row>
    <row r="30" spans="1:6" x14ac:dyDescent="0.25">
      <c r="C30" s="57"/>
      <c r="D30" s="57"/>
      <c r="E30" s="57"/>
      <c r="F30" s="57"/>
    </row>
    <row r="31" spans="1:6" x14ac:dyDescent="0.25">
      <c r="C31" s="57"/>
      <c r="D31" s="57" t="s">
        <v>167</v>
      </c>
      <c r="E31" s="67">
        <f>SUM('IF 陳述式'!$E$28:$E$29)</f>
        <v>13.179631831791557</v>
      </c>
      <c r="F31" s="67">
        <f>SUM('IF 陳述式'!F28:F29)</f>
        <v>29.778183909691116</v>
      </c>
    </row>
    <row r="32" spans="1:6" ht="15.75" thickBot="1" x14ac:dyDescent="0.3">
      <c r="C32" s="57"/>
      <c r="D32" s="57"/>
      <c r="E32" s="57"/>
      <c r="F32" s="57"/>
    </row>
    <row r="33" spans="3:6" ht="16.5" thickTop="1" thickBot="1" x14ac:dyDescent="0.3">
      <c r="C33" s="57"/>
      <c r="D33" s="57" t="s">
        <v>168</v>
      </c>
      <c r="E33" s="59" t="s">
        <v>172</v>
      </c>
      <c r="F33" s="68">
        <f>IF(E33="是",F31*營業稅,0)</f>
        <v>2.456700172549517</v>
      </c>
    </row>
    <row r="34" spans="3:6" ht="16.5" thickTop="1" thickBot="1" x14ac:dyDescent="0.3">
      <c r="C34" s="57"/>
      <c r="D34" s="57"/>
      <c r="E34" s="57"/>
      <c r="F34" s="57"/>
    </row>
    <row r="35" spans="3:6" ht="16.5" thickTop="1" thickBot="1" x14ac:dyDescent="0.3">
      <c r="C35" s="57"/>
      <c r="D35" s="57" t="s">
        <v>169</v>
      </c>
      <c r="E35" s="59" t="s">
        <v>172</v>
      </c>
      <c r="F35" s="68">
        <f>IF(E35="是",SUM(D28:D29)*1.25,0)</f>
        <v>6.25</v>
      </c>
    </row>
    <row r="36" spans="3:6" ht="15.75" thickTop="1" x14ac:dyDescent="0.25"/>
    <row r="37" spans="3:6" x14ac:dyDescent="0.25">
      <c r="D37" s="57" t="s">
        <v>170</v>
      </c>
      <c r="E37" s="57"/>
      <c r="F37" s="67">
        <f>SUM(F33,F31,F35)</f>
        <v>38.484884082240633</v>
      </c>
    </row>
  </sheetData>
  <mergeCells count="1">
    <mergeCell ref="C8:D8"/>
  </mergeCells>
  <phoneticPr fontId="23" type="noConversion"/>
  <dataValidations count="1">
    <dataValidation type="list" allowBlank="1" showInputMessage="1" showErrorMessage="1" sqref="E35 E33" xr:uid="{00000000-0002-0000-0700-000000000000}">
      <formula1>"是,否"</formula1>
    </dataValidation>
  </dataValidations>
  <hyperlinks>
    <hyperlink ref="M25" r:id="rId1" display="https://support.office.com/en-us/article/IF-function-69AED7C9-4E8A-4755-A9BC-AA8BBFF73BE2" xr:uid="{00000000-0004-0000-0700-000000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4"/>
  <sheetViews>
    <sheetView showGridLines="0" zoomScaleNormal="100" workbookViewId="0">
      <selection activeCell="D22" sqref="D22"/>
    </sheetView>
  </sheetViews>
  <sheetFormatPr defaultColWidth="8.88671875" defaultRowHeight="15" customHeight="1" x14ac:dyDescent="0.25"/>
  <cols>
    <col min="1" max="1" width="12.77734375" style="5" customWidth="1"/>
    <col min="2" max="2" width="63.77734375" style="2" customWidth="1"/>
    <col min="3" max="3" width="13.33203125" style="2" customWidth="1"/>
    <col min="4" max="4" width="13.33203125" style="21" customWidth="1"/>
    <col min="5" max="5" width="2.33203125" style="2" customWidth="1"/>
    <col min="6" max="7" width="13.33203125" style="2" customWidth="1"/>
    <col min="8" max="16384" width="8.88671875" style="2"/>
  </cols>
  <sheetData>
    <row r="1" spans="1:7" ht="60" customHeight="1" x14ac:dyDescent="0.25">
      <c r="A1" s="5" t="s">
        <v>173</v>
      </c>
      <c r="D1" s="27"/>
      <c r="E1" s="27"/>
      <c r="F1" s="27"/>
      <c r="G1" s="27"/>
    </row>
    <row r="2" spans="1:7" ht="15" customHeight="1" x14ac:dyDescent="0.25">
      <c r="A2" s="5" t="s">
        <v>174</v>
      </c>
    </row>
    <row r="3" spans="1:7" ht="15" customHeight="1" x14ac:dyDescent="0.25">
      <c r="A3" s="5" t="s">
        <v>175</v>
      </c>
    </row>
    <row r="4" spans="1:7" ht="15" customHeight="1" x14ac:dyDescent="0.25">
      <c r="A4" s="5" t="s">
        <v>176</v>
      </c>
    </row>
    <row r="5" spans="1:7" s="21" customFormat="1" ht="15" customHeight="1" x14ac:dyDescent="0.25">
      <c r="A5" s="45" t="s">
        <v>177</v>
      </c>
    </row>
    <row r="6" spans="1:7" s="21" customFormat="1" ht="15" customHeight="1" x14ac:dyDescent="0.25">
      <c r="A6" s="45" t="s">
        <v>178</v>
      </c>
    </row>
    <row r="7" spans="1:7" s="21" customFormat="1" ht="15" customHeight="1" x14ac:dyDescent="0.25">
      <c r="A7" s="45" t="s">
        <v>179</v>
      </c>
    </row>
    <row r="8" spans="1:7" s="21" customFormat="1" ht="15" customHeight="1" x14ac:dyDescent="0.25">
      <c r="A8" s="46" t="s">
        <v>180</v>
      </c>
    </row>
    <row r="9" spans="1:7" s="21" customFormat="1" ht="15" customHeight="1" x14ac:dyDescent="0.25">
      <c r="A9" s="46" t="s">
        <v>181</v>
      </c>
    </row>
    <row r="10" spans="1:7" s="21" customFormat="1" ht="15" customHeight="1" x14ac:dyDescent="0.25">
      <c r="A10" s="45" t="s">
        <v>182</v>
      </c>
    </row>
    <row r="11" spans="1:7" s="21" customFormat="1" ht="15" customHeight="1" x14ac:dyDescent="0.25">
      <c r="A11" s="45" t="s">
        <v>10</v>
      </c>
    </row>
    <row r="12" spans="1:7" s="21" customFormat="1" ht="15" customHeight="1" x14ac:dyDescent="0.25">
      <c r="A12" s="45" t="s">
        <v>23</v>
      </c>
    </row>
    <row r="13" spans="1:7" s="21" customFormat="1" ht="15" customHeight="1" x14ac:dyDescent="0.25">
      <c r="A13" s="45" t="s">
        <v>183</v>
      </c>
      <c r="C13" s="50"/>
      <c r="D13" s="51"/>
      <c r="E13" s="51"/>
      <c r="F13" s="51"/>
      <c r="G13" s="51"/>
    </row>
    <row r="14" spans="1:7" s="21" customFormat="1" ht="15" customHeight="1" x14ac:dyDescent="0.25">
      <c r="A14" s="45" t="s">
        <v>184</v>
      </c>
      <c r="C14" s="51"/>
      <c r="D14" s="51"/>
      <c r="E14" s="51"/>
      <c r="F14" s="51"/>
      <c r="G14" s="51"/>
    </row>
    <row r="15" spans="1:7" s="21" customFormat="1" ht="15" customHeight="1" x14ac:dyDescent="0.25">
      <c r="A15" s="46" t="s">
        <v>185</v>
      </c>
    </row>
    <row r="16" spans="1:7" s="21" customFormat="1" ht="15" customHeight="1" x14ac:dyDescent="0.25">
      <c r="A16" s="20" t="s">
        <v>186</v>
      </c>
      <c r="C16" s="16" t="s">
        <v>55</v>
      </c>
      <c r="D16" s="17" t="s">
        <v>71</v>
      </c>
      <c r="E16" s="39"/>
      <c r="F16" s="52" t="s">
        <v>74</v>
      </c>
      <c r="G16" s="17" t="s">
        <v>71</v>
      </c>
    </row>
    <row r="17" spans="1:12" s="21" customFormat="1" ht="15" customHeight="1" x14ac:dyDescent="0.25">
      <c r="A17" s="45" t="s">
        <v>187</v>
      </c>
      <c r="C17" s="53" t="s">
        <v>56</v>
      </c>
      <c r="D17" s="19">
        <v>50</v>
      </c>
      <c r="E17" s="30"/>
      <c r="F17" s="53" t="s">
        <v>75</v>
      </c>
      <c r="G17" s="19">
        <v>50</v>
      </c>
    </row>
    <row r="18" spans="1:12" s="21" customFormat="1" ht="15" customHeight="1" x14ac:dyDescent="0.25">
      <c r="A18" s="45" t="s">
        <v>22</v>
      </c>
      <c r="C18" s="53" t="s">
        <v>57</v>
      </c>
      <c r="D18" s="19">
        <v>20</v>
      </c>
      <c r="E18" s="30"/>
      <c r="F18" s="53" t="s">
        <v>76</v>
      </c>
      <c r="G18" s="19">
        <v>30</v>
      </c>
    </row>
    <row r="19" spans="1:12" s="21" customFormat="1" ht="15" customHeight="1" x14ac:dyDescent="0.25">
      <c r="A19" s="45" t="s">
        <v>23</v>
      </c>
      <c r="C19" s="53" t="s">
        <v>58</v>
      </c>
      <c r="D19" s="19">
        <v>60</v>
      </c>
      <c r="E19" s="30"/>
      <c r="F19" s="53" t="s">
        <v>77</v>
      </c>
      <c r="G19" s="19">
        <v>10</v>
      </c>
    </row>
    <row r="20" spans="1:12" s="21" customFormat="1" ht="15" customHeight="1" x14ac:dyDescent="0.25">
      <c r="A20" s="45" t="s">
        <v>24</v>
      </c>
      <c r="C20" s="53" t="s">
        <v>59</v>
      </c>
      <c r="D20" s="19">
        <v>40</v>
      </c>
      <c r="E20" s="30"/>
      <c r="F20" s="53" t="s">
        <v>78</v>
      </c>
      <c r="G20" s="19">
        <v>50</v>
      </c>
    </row>
    <row r="21" spans="1:12" s="21" customFormat="1" ht="15" customHeight="1" thickBot="1" x14ac:dyDescent="0.3">
      <c r="A21" s="45" t="s">
        <v>188</v>
      </c>
    </row>
    <row r="22" spans="1:12" s="21" customFormat="1" ht="15" customHeight="1" thickTop="1" thickBot="1" x14ac:dyDescent="0.3">
      <c r="A22" s="45" t="s">
        <v>189</v>
      </c>
      <c r="C22" s="22" t="s">
        <v>56</v>
      </c>
      <c r="D22" s="23"/>
      <c r="E22" s="30"/>
      <c r="F22" s="22" t="s">
        <v>77</v>
      </c>
      <c r="G22" s="23"/>
    </row>
    <row r="23" spans="1:12" s="21" customFormat="1" ht="15" customHeight="1" thickTop="1" x14ac:dyDescent="0.25">
      <c r="A23" s="45" t="s">
        <v>190</v>
      </c>
      <c r="D23" s="30"/>
      <c r="E23" s="30"/>
      <c r="G23" s="30"/>
    </row>
    <row r="24" spans="1:12" s="21" customFormat="1" ht="15" customHeight="1" x14ac:dyDescent="0.25">
      <c r="A24" s="45" t="s">
        <v>191</v>
      </c>
    </row>
    <row r="25" spans="1:12" s="21" customFormat="1" ht="15" customHeight="1" x14ac:dyDescent="0.25">
      <c r="A25" s="45" t="s">
        <v>29</v>
      </c>
    </row>
    <row r="26" spans="1:12" ht="15" customHeight="1" x14ac:dyDescent="0.25">
      <c r="C26" s="21"/>
      <c r="E26" s="21"/>
      <c r="F26" s="21"/>
      <c r="G26" s="21"/>
      <c r="I26" s="21"/>
      <c r="J26" s="21"/>
      <c r="K26" s="21"/>
      <c r="L26" s="21"/>
    </row>
    <row r="27" spans="1:12" ht="15" customHeight="1" x14ac:dyDescent="0.25">
      <c r="C27" s="21"/>
      <c r="E27" s="21"/>
      <c r="F27" s="21"/>
      <c r="G27" s="21"/>
    </row>
    <row r="28" spans="1:12" ht="15" customHeight="1" x14ac:dyDescent="0.25">
      <c r="C28" s="21"/>
      <c r="E28" s="21"/>
      <c r="F28" s="21"/>
      <c r="G28" s="21"/>
    </row>
    <row r="33" spans="3:7" ht="15" customHeight="1" x14ac:dyDescent="0.25">
      <c r="C33" s="54"/>
      <c r="D33" s="55"/>
      <c r="E33" s="55"/>
      <c r="F33" s="55"/>
      <c r="G33" s="55"/>
    </row>
    <row r="34" spans="3:7" ht="15" customHeight="1" x14ac:dyDescent="0.25">
      <c r="C34" s="55"/>
      <c r="D34" s="55"/>
      <c r="E34" s="55"/>
      <c r="F34" s="55"/>
      <c r="G34" s="55"/>
    </row>
    <row r="35" spans="3:7" ht="15" customHeight="1" x14ac:dyDescent="0.25">
      <c r="C35" s="56" t="s">
        <v>93</v>
      </c>
      <c r="D35" s="27"/>
      <c r="E35" s="27"/>
      <c r="F35" s="27"/>
      <c r="G35" s="27"/>
    </row>
    <row r="36" spans="3:7" ht="15" customHeight="1" x14ac:dyDescent="0.25">
      <c r="C36" s="16" t="s">
        <v>61</v>
      </c>
      <c r="D36" s="17" t="s">
        <v>71</v>
      </c>
      <c r="E36" s="39"/>
      <c r="F36" s="52" t="s">
        <v>61</v>
      </c>
      <c r="G36" s="17" t="s">
        <v>71</v>
      </c>
    </row>
    <row r="37" spans="3:7" ht="15" customHeight="1" x14ac:dyDescent="0.25">
      <c r="C37" s="53" t="s">
        <v>62</v>
      </c>
      <c r="D37" s="19">
        <v>50</v>
      </c>
      <c r="E37" s="30"/>
      <c r="F37" s="53" t="s">
        <v>62</v>
      </c>
      <c r="G37" s="19">
        <v>50</v>
      </c>
    </row>
    <row r="38" spans="3:7" ht="15" customHeight="1" x14ac:dyDescent="0.25">
      <c r="C38" s="53" t="s">
        <v>63</v>
      </c>
      <c r="D38" s="19">
        <v>100</v>
      </c>
      <c r="E38" s="30"/>
      <c r="F38" s="53" t="s">
        <v>63</v>
      </c>
      <c r="G38" s="19">
        <v>100</v>
      </c>
    </row>
    <row r="39" spans="3:7" ht="15" customHeight="1" x14ac:dyDescent="0.25">
      <c r="C39" s="53" t="s">
        <v>64</v>
      </c>
      <c r="D39" s="19">
        <v>40</v>
      </c>
      <c r="E39" s="30"/>
      <c r="F39" s="53" t="s">
        <v>64</v>
      </c>
      <c r="G39" s="19">
        <v>40</v>
      </c>
    </row>
    <row r="40" spans="3:7" ht="15" customHeight="1" x14ac:dyDescent="0.25">
      <c r="C40" s="53" t="s">
        <v>65</v>
      </c>
      <c r="D40" s="19">
        <v>50</v>
      </c>
      <c r="E40" s="30"/>
      <c r="F40" s="53" t="s">
        <v>65</v>
      </c>
      <c r="G40" s="19">
        <v>50</v>
      </c>
    </row>
    <row r="41" spans="3:7" ht="15" customHeight="1" x14ac:dyDescent="0.25">
      <c r="C41" s="53" t="s">
        <v>66</v>
      </c>
      <c r="D41" s="19">
        <v>20</v>
      </c>
      <c r="E41" s="30"/>
      <c r="F41" s="53" t="s">
        <v>66</v>
      </c>
      <c r="G41" s="19">
        <v>20</v>
      </c>
    </row>
    <row r="42" spans="3:7" ht="15" customHeight="1" thickBot="1" x14ac:dyDescent="0.3">
      <c r="C42" s="21"/>
      <c r="E42" s="21"/>
      <c r="F42" s="21"/>
      <c r="G42" s="21"/>
    </row>
    <row r="43" spans="3:7" ht="15" customHeight="1" thickTop="1" thickBot="1" x14ac:dyDescent="0.3">
      <c r="C43" s="22"/>
      <c r="D43" s="23" t="e">
        <f>VLOOKUP(C43,C37:D41,2,FALSE)</f>
        <v>#N/A</v>
      </c>
      <c r="E43" s="30"/>
      <c r="F43" s="22" t="s">
        <v>192</v>
      </c>
      <c r="G43" s="23" t="str">
        <f>IFERROR(VLOOKUP(F43,F37:G41,2,FALSE),"")</f>
        <v/>
      </c>
    </row>
    <row r="44" spans="3:7" ht="15" customHeight="1" thickTop="1" x14ac:dyDescent="0.25"/>
  </sheetData>
  <phoneticPr fontId="23" type="noConversion"/>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workbookViewId="0">
      <selection activeCell="D17" sqref="D17"/>
    </sheetView>
  </sheetViews>
  <sheetFormatPr defaultColWidth="8.88671875" defaultRowHeight="15" x14ac:dyDescent="0.25"/>
  <cols>
    <col min="1" max="1" width="12.77734375" style="5" customWidth="1"/>
    <col min="2" max="2" width="63.77734375" style="5" customWidth="1"/>
    <col min="3" max="4" width="12.77734375" style="2" customWidth="1"/>
    <col min="5" max="5" width="8.5546875" style="2" customWidth="1"/>
    <col min="6" max="8" width="12.77734375" style="2" customWidth="1"/>
    <col min="9" max="25" width="8.88671875" style="2"/>
    <col min="26" max="26" width="8.88671875" style="2" hidden="1" customWidth="1"/>
    <col min="27" max="27" width="2.33203125" style="2" hidden="1" customWidth="1"/>
    <col min="28" max="28" width="11.109375" style="2" hidden="1" customWidth="1"/>
    <col min="29" max="29" width="2.33203125" style="2" hidden="1" customWidth="1"/>
    <col min="30" max="30" width="11.109375" style="2" hidden="1" customWidth="1"/>
    <col min="31" max="31" width="2.33203125" style="2" hidden="1" customWidth="1"/>
    <col min="32" max="32" width="11.109375" style="2" hidden="1" customWidth="1"/>
    <col min="33" max="33" width="2.33203125" style="2" hidden="1" customWidth="1"/>
    <col min="34" max="34" width="11.109375" style="2" hidden="1" customWidth="1"/>
    <col min="35" max="16384" width="8.88671875" style="2"/>
  </cols>
  <sheetData>
    <row r="1" spans="1:34" ht="60" customHeight="1" x14ac:dyDescent="0.25">
      <c r="A1" s="11" t="s">
        <v>193</v>
      </c>
      <c r="C1" s="13"/>
      <c r="D1" s="27"/>
      <c r="E1" s="27"/>
      <c r="F1" s="27"/>
      <c r="G1" s="27"/>
      <c r="H1" s="27"/>
    </row>
    <row r="2" spans="1:34" ht="15" customHeight="1" x14ac:dyDescent="0.25">
      <c r="A2" s="11" t="s">
        <v>194</v>
      </c>
      <c r="C2" s="28" t="s">
        <v>55</v>
      </c>
      <c r="D2" s="29" t="s">
        <v>71</v>
      </c>
      <c r="E2" s="30"/>
      <c r="F2" s="28" t="s">
        <v>55</v>
      </c>
      <c r="G2" s="28" t="s">
        <v>234</v>
      </c>
      <c r="H2" s="29" t="s">
        <v>71</v>
      </c>
      <c r="Z2" s="28" t="s">
        <v>55</v>
      </c>
      <c r="AB2" s="28" t="s">
        <v>56</v>
      </c>
      <c r="AD2" s="28" t="s">
        <v>57</v>
      </c>
      <c r="AF2" s="28" t="s">
        <v>58</v>
      </c>
      <c r="AH2" s="28" t="s">
        <v>59</v>
      </c>
    </row>
    <row r="3" spans="1:34" ht="15" customHeight="1" x14ac:dyDescent="0.25">
      <c r="A3" s="11" t="s">
        <v>195</v>
      </c>
      <c r="C3" s="18" t="s">
        <v>56</v>
      </c>
      <c r="D3" s="19">
        <v>50</v>
      </c>
      <c r="E3" s="30"/>
      <c r="F3" s="18" t="s">
        <v>56</v>
      </c>
      <c r="G3" s="18" t="s">
        <v>235</v>
      </c>
      <c r="H3" s="19">
        <v>50</v>
      </c>
      <c r="Z3" s="25" t="s">
        <v>56</v>
      </c>
      <c r="AB3" s="25" t="s">
        <v>235</v>
      </c>
      <c r="AD3" s="25" t="s">
        <v>236</v>
      </c>
      <c r="AF3" s="25" t="s">
        <v>237</v>
      </c>
      <c r="AH3" s="25" t="s">
        <v>238</v>
      </c>
    </row>
    <row r="4" spans="1:34" ht="15" customHeight="1" x14ac:dyDescent="0.25">
      <c r="A4" s="11" t="s">
        <v>196</v>
      </c>
      <c r="C4" s="18" t="s">
        <v>57</v>
      </c>
      <c r="D4" s="19">
        <v>20</v>
      </c>
      <c r="E4" s="30"/>
      <c r="F4" s="18" t="s">
        <v>57</v>
      </c>
      <c r="G4" s="18" t="s">
        <v>236</v>
      </c>
      <c r="H4" s="19">
        <v>20</v>
      </c>
      <c r="J4" s="31"/>
      <c r="K4" s="31"/>
      <c r="L4" s="31"/>
      <c r="M4" s="31"/>
      <c r="N4" s="31"/>
      <c r="Z4" s="25" t="s">
        <v>57</v>
      </c>
      <c r="AB4" s="25" t="s">
        <v>239</v>
      </c>
      <c r="AD4" s="25" t="s">
        <v>240</v>
      </c>
      <c r="AF4" s="25" t="s">
        <v>241</v>
      </c>
      <c r="AH4" s="25" t="s">
        <v>242</v>
      </c>
    </row>
    <row r="5" spans="1:34" s="21" customFormat="1" ht="15" customHeight="1" x14ac:dyDescent="0.3">
      <c r="A5" s="11" t="s">
        <v>197</v>
      </c>
      <c r="C5" s="18" t="s">
        <v>58</v>
      </c>
      <c r="D5" s="19">
        <v>60</v>
      </c>
      <c r="E5" s="30"/>
      <c r="F5" s="18" t="s">
        <v>58</v>
      </c>
      <c r="G5" s="18" t="s">
        <v>237</v>
      </c>
      <c r="H5" s="19">
        <v>60</v>
      </c>
      <c r="I5" s="2"/>
      <c r="J5" s="31"/>
      <c r="K5" s="32"/>
      <c r="L5" s="31"/>
      <c r="M5" s="31"/>
      <c r="N5" s="31"/>
      <c r="O5" s="2"/>
      <c r="P5" s="2"/>
      <c r="Z5" s="25" t="s">
        <v>58</v>
      </c>
    </row>
    <row r="6" spans="1:34" s="21" customFormat="1" ht="15" customHeight="1" x14ac:dyDescent="0.25">
      <c r="A6" s="11" t="s">
        <v>198</v>
      </c>
      <c r="C6" s="18" t="s">
        <v>59</v>
      </c>
      <c r="D6" s="19">
        <v>40</v>
      </c>
      <c r="E6" s="30"/>
      <c r="F6" s="18" t="s">
        <v>59</v>
      </c>
      <c r="G6" s="18" t="s">
        <v>238</v>
      </c>
      <c r="H6" s="19">
        <v>40</v>
      </c>
      <c r="I6" s="2"/>
      <c r="J6" s="2"/>
      <c r="K6" s="2"/>
      <c r="L6" s="2"/>
      <c r="M6" s="2"/>
      <c r="N6" s="31"/>
      <c r="O6" s="2"/>
      <c r="P6" s="2"/>
      <c r="Z6" s="25" t="s">
        <v>59</v>
      </c>
    </row>
    <row r="7" spans="1:34" s="21" customFormat="1" ht="15" customHeight="1" x14ac:dyDescent="0.25">
      <c r="A7" s="11" t="s">
        <v>199</v>
      </c>
      <c r="C7" s="18" t="s">
        <v>56</v>
      </c>
      <c r="D7" s="19">
        <v>50</v>
      </c>
      <c r="E7" s="30"/>
      <c r="F7" s="18" t="s">
        <v>56</v>
      </c>
      <c r="G7" s="18" t="s">
        <v>239</v>
      </c>
      <c r="H7" s="19">
        <v>50</v>
      </c>
      <c r="N7" s="31"/>
    </row>
    <row r="8" spans="1:34" s="21" customFormat="1" ht="15" customHeight="1" x14ac:dyDescent="0.25">
      <c r="A8" s="11" t="s">
        <v>200</v>
      </c>
      <c r="C8" s="18" t="s">
        <v>57</v>
      </c>
      <c r="D8" s="19">
        <v>20</v>
      </c>
      <c r="E8" s="30"/>
      <c r="F8" s="18" t="s">
        <v>57</v>
      </c>
      <c r="G8" s="18" t="s">
        <v>240</v>
      </c>
      <c r="H8" s="19">
        <v>20</v>
      </c>
      <c r="N8" s="31"/>
    </row>
    <row r="9" spans="1:34" s="21" customFormat="1" ht="15" customHeight="1" x14ac:dyDescent="0.25">
      <c r="A9" s="11" t="s">
        <v>201</v>
      </c>
      <c r="C9" s="18" t="s">
        <v>58</v>
      </c>
      <c r="D9" s="19">
        <v>60</v>
      </c>
      <c r="E9" s="30"/>
      <c r="F9" s="18" t="s">
        <v>58</v>
      </c>
      <c r="G9" s="18" t="s">
        <v>241</v>
      </c>
      <c r="H9" s="19">
        <v>60</v>
      </c>
      <c r="N9" s="31"/>
    </row>
    <row r="10" spans="1:34" s="21" customFormat="1" ht="15" customHeight="1" x14ac:dyDescent="0.25">
      <c r="A10" s="11" t="s">
        <v>202</v>
      </c>
      <c r="C10" s="18" t="s">
        <v>59</v>
      </c>
      <c r="D10" s="19">
        <v>40</v>
      </c>
      <c r="E10" s="30"/>
      <c r="F10" s="18" t="s">
        <v>59</v>
      </c>
      <c r="G10" s="18" t="s">
        <v>242</v>
      </c>
      <c r="H10" s="19">
        <v>40</v>
      </c>
      <c r="J10" s="31"/>
      <c r="K10" s="31"/>
      <c r="L10" s="31"/>
      <c r="M10" s="31"/>
      <c r="N10" s="31"/>
    </row>
    <row r="11" spans="1:34" s="21" customFormat="1" ht="15" customHeight="1" x14ac:dyDescent="0.25">
      <c r="A11" s="11" t="s">
        <v>203</v>
      </c>
      <c r="C11" s="18" t="s">
        <v>56</v>
      </c>
      <c r="D11" s="19">
        <v>50</v>
      </c>
      <c r="E11" s="30"/>
      <c r="F11" s="18" t="s">
        <v>56</v>
      </c>
      <c r="G11" s="18" t="s">
        <v>239</v>
      </c>
      <c r="H11" s="19">
        <v>50</v>
      </c>
      <c r="J11" s="33"/>
      <c r="K11" s="34"/>
      <c r="L11" s="31"/>
      <c r="M11" s="31"/>
      <c r="N11" s="31"/>
    </row>
    <row r="12" spans="1:34" s="21" customFormat="1" ht="15" customHeight="1" x14ac:dyDescent="0.25">
      <c r="A12" s="11" t="s">
        <v>204</v>
      </c>
      <c r="C12" s="18" t="s">
        <v>57</v>
      </c>
      <c r="D12" s="19">
        <v>20</v>
      </c>
      <c r="E12" s="30"/>
      <c r="F12" s="18" t="s">
        <v>57</v>
      </c>
      <c r="G12" s="18" t="s">
        <v>240</v>
      </c>
      <c r="H12" s="19">
        <v>20</v>
      </c>
      <c r="J12" s="33"/>
      <c r="K12" s="35"/>
      <c r="L12" s="31"/>
      <c r="M12" s="31"/>
      <c r="N12" s="31"/>
    </row>
    <row r="13" spans="1:34" s="21" customFormat="1" ht="15" customHeight="1" x14ac:dyDescent="0.25">
      <c r="A13" s="20" t="s">
        <v>205</v>
      </c>
      <c r="C13" s="18" t="s">
        <v>58</v>
      </c>
      <c r="D13" s="19">
        <v>60</v>
      </c>
      <c r="E13" s="30"/>
      <c r="F13" s="18" t="s">
        <v>58</v>
      </c>
      <c r="G13" s="18" t="s">
        <v>237</v>
      </c>
      <c r="H13" s="19">
        <v>60</v>
      </c>
      <c r="J13" s="33"/>
      <c r="K13" s="35"/>
      <c r="L13" s="31"/>
      <c r="M13" s="31"/>
      <c r="N13" s="31"/>
    </row>
    <row r="14" spans="1:34" s="21" customFormat="1" ht="15" customHeight="1" x14ac:dyDescent="0.25">
      <c r="A14" s="36" t="s">
        <v>206</v>
      </c>
      <c r="C14" s="18" t="s">
        <v>59</v>
      </c>
      <c r="D14" s="19">
        <v>40</v>
      </c>
      <c r="E14" s="30"/>
      <c r="F14" s="18" t="s">
        <v>59</v>
      </c>
      <c r="G14" s="18" t="s">
        <v>242</v>
      </c>
      <c r="H14" s="19">
        <v>40</v>
      </c>
      <c r="J14" s="33"/>
      <c r="K14" s="37"/>
      <c r="L14" s="31"/>
      <c r="M14" s="31"/>
      <c r="N14" s="31"/>
    </row>
    <row r="15" spans="1:34" s="21" customFormat="1" ht="15" customHeight="1" x14ac:dyDescent="0.25">
      <c r="A15" s="20" t="s">
        <v>207</v>
      </c>
      <c r="C15" s="12"/>
      <c r="D15" s="12"/>
      <c r="E15" s="12"/>
      <c r="F15" s="12"/>
      <c r="G15" s="12"/>
      <c r="H15" s="12"/>
      <c r="J15" s="33"/>
      <c r="K15" s="38"/>
      <c r="L15" s="31"/>
      <c r="M15" s="31"/>
      <c r="N15" s="31"/>
    </row>
    <row r="16" spans="1:34" s="21" customFormat="1" ht="15" customHeight="1" thickBot="1" x14ac:dyDescent="0.3">
      <c r="A16" s="11" t="s">
        <v>10</v>
      </c>
      <c r="C16" s="21" t="s">
        <v>55</v>
      </c>
      <c r="D16" s="39" t="s">
        <v>232</v>
      </c>
      <c r="E16" s="30"/>
      <c r="F16" s="21" t="s">
        <v>55</v>
      </c>
      <c r="G16" s="21" t="s">
        <v>234</v>
      </c>
      <c r="H16" s="39" t="s">
        <v>244</v>
      </c>
      <c r="J16" s="33"/>
      <c r="K16" s="34"/>
      <c r="L16" s="31"/>
      <c r="M16" s="31"/>
      <c r="N16" s="31"/>
    </row>
    <row r="17" spans="1:34" s="21" customFormat="1" ht="15" customHeight="1" thickTop="1" thickBot="1" x14ac:dyDescent="0.3">
      <c r="A17" s="11" t="s">
        <v>11</v>
      </c>
      <c r="C17" s="40" t="s">
        <v>56</v>
      </c>
      <c r="D17" s="41"/>
      <c r="E17" s="30"/>
      <c r="F17" s="40" t="s">
        <v>57</v>
      </c>
      <c r="G17" s="40" t="s">
        <v>236</v>
      </c>
      <c r="H17" s="23"/>
      <c r="J17" s="42"/>
      <c r="K17" s="35"/>
      <c r="L17" s="31"/>
      <c r="M17" s="31"/>
      <c r="N17" s="31"/>
    </row>
    <row r="18" spans="1:34" s="21" customFormat="1" ht="15" customHeight="1" thickTop="1" x14ac:dyDescent="0.25">
      <c r="A18" s="11" t="s">
        <v>208</v>
      </c>
      <c r="E18" s="30"/>
      <c r="J18" s="33"/>
      <c r="K18" s="37"/>
      <c r="L18" s="31"/>
      <c r="M18" s="31"/>
      <c r="N18" s="31"/>
    </row>
    <row r="19" spans="1:34" s="21" customFormat="1" ht="15" customHeight="1" x14ac:dyDescent="0.25">
      <c r="A19" s="11" t="s">
        <v>209</v>
      </c>
      <c r="C19" s="2"/>
      <c r="D19" s="2"/>
      <c r="E19" s="2"/>
      <c r="F19" s="2"/>
      <c r="G19" s="2"/>
      <c r="H19" s="2"/>
      <c r="J19" s="33"/>
      <c r="K19" s="38"/>
      <c r="L19" s="31"/>
      <c r="M19" s="31"/>
    </row>
    <row r="20" spans="1:34" s="21" customFormat="1" ht="15" customHeight="1" x14ac:dyDescent="0.25">
      <c r="A20" s="11" t="s">
        <v>210</v>
      </c>
      <c r="C20" s="2"/>
      <c r="D20" s="2"/>
      <c r="E20" s="2"/>
      <c r="F20" s="2"/>
      <c r="G20" s="2"/>
      <c r="H20" s="2"/>
      <c r="J20" s="42"/>
      <c r="K20" s="34"/>
      <c r="M20" s="31"/>
    </row>
    <row r="21" spans="1:34" s="21" customFormat="1" ht="15" customHeight="1" x14ac:dyDescent="0.25">
      <c r="A21" s="11" t="s">
        <v>211</v>
      </c>
      <c r="C21" s="2"/>
      <c r="D21" s="2"/>
      <c r="E21" s="2"/>
      <c r="F21" s="2"/>
      <c r="G21" s="2"/>
      <c r="H21" s="2"/>
      <c r="J21" s="42"/>
      <c r="K21" s="35"/>
      <c r="M21" s="31"/>
    </row>
    <row r="22" spans="1:34" s="21" customFormat="1" ht="15" customHeight="1" x14ac:dyDescent="0.25">
      <c r="A22" s="11" t="s">
        <v>197</v>
      </c>
      <c r="C22" s="2"/>
      <c r="D22" s="2"/>
      <c r="E22" s="2"/>
      <c r="F22" s="2"/>
      <c r="G22" s="2"/>
      <c r="H22" s="2"/>
      <c r="J22" s="2"/>
      <c r="K22" s="35"/>
      <c r="L22" s="43"/>
      <c r="M22" s="31"/>
    </row>
    <row r="23" spans="1:34" s="21" customFormat="1" ht="15" customHeight="1" x14ac:dyDescent="0.25">
      <c r="A23" s="11" t="s">
        <v>198</v>
      </c>
      <c r="C23" s="2"/>
      <c r="D23" s="2"/>
      <c r="E23" s="2"/>
      <c r="F23" s="2"/>
      <c r="G23" s="2"/>
      <c r="H23" s="2"/>
      <c r="J23" s="2"/>
      <c r="K23" s="44"/>
      <c r="L23" s="43"/>
      <c r="M23" s="31"/>
    </row>
    <row r="24" spans="1:34" s="21" customFormat="1" ht="15" customHeight="1" x14ac:dyDescent="0.25">
      <c r="A24" s="20" t="s">
        <v>212</v>
      </c>
      <c r="C24" s="2"/>
      <c r="D24" s="2"/>
      <c r="E24" s="2"/>
      <c r="F24" s="2"/>
      <c r="G24" s="2"/>
      <c r="H24" s="2"/>
      <c r="J24" s="2"/>
      <c r="L24" s="43"/>
      <c r="M24" s="31"/>
      <c r="AH24" s="2"/>
    </row>
    <row r="25" spans="1:34" s="21" customFormat="1" ht="15" customHeight="1" x14ac:dyDescent="0.25">
      <c r="A25" s="11" t="s">
        <v>213</v>
      </c>
      <c r="C25" s="2"/>
      <c r="D25" s="2"/>
      <c r="E25" s="2"/>
      <c r="F25" s="2"/>
      <c r="G25" s="2"/>
      <c r="H25" s="2"/>
      <c r="J25" s="2"/>
      <c r="L25" s="43"/>
      <c r="M25" s="31"/>
      <c r="AH25" s="2"/>
    </row>
    <row r="26" spans="1:34" s="21" customFormat="1" ht="15" customHeight="1" x14ac:dyDescent="0.25">
      <c r="A26" s="11" t="s">
        <v>214</v>
      </c>
      <c r="C26" s="2"/>
      <c r="D26" s="2"/>
      <c r="E26" s="2"/>
      <c r="F26" s="2"/>
      <c r="G26" s="2"/>
      <c r="H26" s="2"/>
      <c r="J26" s="2"/>
      <c r="L26" s="43"/>
      <c r="M26" s="31"/>
      <c r="AH26" s="2"/>
    </row>
    <row r="27" spans="1:34" s="21" customFormat="1" ht="15" customHeight="1" x14ac:dyDescent="0.25">
      <c r="A27" s="11" t="s">
        <v>204</v>
      </c>
      <c r="C27" s="2"/>
      <c r="D27" s="2"/>
      <c r="E27" s="2"/>
      <c r="F27" s="2"/>
      <c r="G27" s="2"/>
      <c r="H27" s="2"/>
      <c r="J27" s="2"/>
      <c r="L27" s="43"/>
      <c r="M27" s="31"/>
      <c r="AH27" s="2"/>
    </row>
    <row r="28" spans="1:34" s="21" customFormat="1" ht="15" customHeight="1" x14ac:dyDescent="0.25">
      <c r="A28" s="11" t="s">
        <v>215</v>
      </c>
      <c r="C28" s="2"/>
      <c r="D28" s="2"/>
      <c r="E28" s="2"/>
      <c r="F28" s="2"/>
      <c r="G28" s="2"/>
      <c r="H28" s="2"/>
      <c r="J28" s="2"/>
      <c r="L28" s="43"/>
      <c r="AH28" s="2"/>
    </row>
    <row r="29" spans="1:34" s="21" customFormat="1" ht="15" customHeight="1" x14ac:dyDescent="0.25">
      <c r="A29" s="11" t="s">
        <v>206</v>
      </c>
      <c r="C29" s="2"/>
      <c r="D29" s="2"/>
      <c r="E29" s="2"/>
      <c r="F29" s="2"/>
      <c r="G29" s="2"/>
      <c r="H29" s="2"/>
      <c r="J29" s="2"/>
      <c r="L29" s="43"/>
      <c r="AH29" s="2"/>
    </row>
    <row r="30" spans="1:34" s="21" customFormat="1" ht="15" customHeight="1" x14ac:dyDescent="0.25">
      <c r="A30" s="11" t="s">
        <v>10</v>
      </c>
      <c r="C30" s="2"/>
      <c r="D30" s="2"/>
      <c r="E30" s="2"/>
      <c r="F30" s="2"/>
      <c r="G30" s="2"/>
      <c r="H30" s="2"/>
      <c r="AB30" s="2"/>
      <c r="AD30" s="2"/>
      <c r="AH30" s="2"/>
    </row>
    <row r="31" spans="1:34" s="21" customFormat="1" ht="15" customHeight="1" x14ac:dyDescent="0.25">
      <c r="A31" s="11" t="s">
        <v>23</v>
      </c>
      <c r="C31" s="2"/>
      <c r="D31" s="2"/>
      <c r="E31" s="2"/>
      <c r="F31" s="2"/>
      <c r="G31" s="2"/>
      <c r="H31" s="2"/>
      <c r="N31" s="31"/>
      <c r="AB31" s="2"/>
      <c r="AD31" s="2"/>
      <c r="AH31" s="2"/>
    </row>
    <row r="32" spans="1:34" s="21" customFormat="1" ht="15" customHeight="1" x14ac:dyDescent="0.25">
      <c r="A32" s="45" t="s">
        <v>216</v>
      </c>
      <c r="C32" s="2"/>
      <c r="D32" s="2"/>
      <c r="E32" s="2"/>
      <c r="F32" s="2"/>
      <c r="G32" s="2"/>
      <c r="H32" s="2"/>
      <c r="N32" s="31"/>
      <c r="AB32" s="2"/>
      <c r="AD32" s="2"/>
      <c r="AH32" s="2"/>
    </row>
    <row r="33" spans="1:34" s="21" customFormat="1" ht="15" customHeight="1" x14ac:dyDescent="0.25">
      <c r="A33" s="46" t="s">
        <v>217</v>
      </c>
      <c r="C33" s="2"/>
      <c r="D33" s="2"/>
      <c r="E33" s="2"/>
      <c r="F33" s="2"/>
      <c r="G33" s="2"/>
      <c r="H33" s="2"/>
      <c r="AB33" s="2"/>
      <c r="AD33" s="2"/>
      <c r="AH33" s="2"/>
    </row>
    <row r="34" spans="1:34" s="21" customFormat="1" ht="15" customHeight="1" x14ac:dyDescent="0.25">
      <c r="A34" s="45" t="s">
        <v>10</v>
      </c>
      <c r="C34" s="2"/>
      <c r="D34" s="2"/>
      <c r="E34" s="2"/>
      <c r="F34" s="2"/>
      <c r="G34" s="2"/>
      <c r="H34" s="2"/>
      <c r="AB34" s="2"/>
      <c r="AD34" s="2"/>
      <c r="AH34" s="2"/>
    </row>
    <row r="35" spans="1:34" s="21" customFormat="1" ht="15" customHeight="1" x14ac:dyDescent="0.25">
      <c r="A35" s="45" t="s">
        <v>23</v>
      </c>
      <c r="AB35" s="2"/>
      <c r="AD35" s="2"/>
      <c r="AH35" s="2"/>
    </row>
    <row r="36" spans="1:34" x14ac:dyDescent="0.25">
      <c r="A36" s="5" t="s">
        <v>218</v>
      </c>
      <c r="C36" s="21"/>
      <c r="D36" s="21"/>
      <c r="E36" s="21"/>
      <c r="F36" s="21"/>
      <c r="G36" s="21"/>
      <c r="H36" s="21"/>
      <c r="I36" s="21"/>
      <c r="J36" s="21"/>
      <c r="K36" s="21"/>
      <c r="L36" s="21"/>
      <c r="M36" s="21"/>
      <c r="N36" s="21"/>
      <c r="O36" s="21"/>
      <c r="P36" s="21"/>
    </row>
    <row r="37" spans="1:34" x14ac:dyDescent="0.25">
      <c r="A37" s="5" t="s">
        <v>219</v>
      </c>
      <c r="C37" s="21"/>
      <c r="D37" s="21"/>
      <c r="E37" s="21"/>
      <c r="F37" s="21"/>
      <c r="G37" s="21"/>
      <c r="H37" s="21"/>
      <c r="I37" s="21"/>
      <c r="J37" s="21"/>
      <c r="K37" s="21"/>
      <c r="L37" s="21"/>
      <c r="M37" s="21"/>
      <c r="N37" s="21"/>
      <c r="O37" s="21"/>
      <c r="P37" s="21"/>
    </row>
    <row r="38" spans="1:34" x14ac:dyDescent="0.25">
      <c r="A38" s="5">
        <f>SUMIF(D118:D122,"&gt;=50")</f>
        <v>200</v>
      </c>
      <c r="C38" s="21"/>
      <c r="D38" s="21"/>
      <c r="E38" s="21"/>
      <c r="F38" s="21"/>
      <c r="G38" s="21"/>
      <c r="H38" s="21"/>
      <c r="I38" s="21"/>
      <c r="J38" s="21"/>
      <c r="K38" s="21"/>
      <c r="L38" s="21"/>
      <c r="M38" s="21"/>
      <c r="N38" s="21"/>
      <c r="O38" s="21"/>
      <c r="P38" s="21"/>
    </row>
    <row r="39" spans="1:34" x14ac:dyDescent="0.25">
      <c r="A39" s="5" t="s">
        <v>220</v>
      </c>
      <c r="C39" s="21"/>
      <c r="D39" s="21"/>
      <c r="E39" s="21"/>
      <c r="F39" s="21"/>
      <c r="G39" s="21"/>
      <c r="H39" s="21"/>
      <c r="I39" s="21"/>
      <c r="J39" s="21"/>
      <c r="K39" s="21"/>
      <c r="L39" s="21"/>
      <c r="M39" s="21"/>
      <c r="N39" s="21"/>
      <c r="O39" s="21"/>
      <c r="P39" s="21"/>
    </row>
    <row r="40" spans="1:34" x14ac:dyDescent="0.25">
      <c r="A40" s="5" t="s">
        <v>221</v>
      </c>
      <c r="C40" s="21"/>
      <c r="D40" s="21"/>
      <c r="E40" s="21"/>
      <c r="F40" s="21"/>
      <c r="G40" s="21"/>
      <c r="H40" s="21"/>
      <c r="I40" s="21"/>
      <c r="J40" s="21"/>
      <c r="K40" s="21"/>
      <c r="L40" s="21"/>
      <c r="M40" s="21"/>
      <c r="N40" s="21"/>
      <c r="O40" s="21"/>
      <c r="P40" s="21"/>
    </row>
    <row r="41" spans="1:34" x14ac:dyDescent="0.25">
      <c r="A41" s="5" t="s">
        <v>222</v>
      </c>
      <c r="C41" s="21"/>
      <c r="D41" s="21"/>
      <c r="E41" s="21"/>
      <c r="F41" s="21"/>
      <c r="G41" s="21"/>
      <c r="H41" s="21"/>
      <c r="I41" s="21"/>
      <c r="J41" s="21"/>
      <c r="K41" s="21"/>
      <c r="L41" s="21"/>
      <c r="M41" s="21"/>
      <c r="N41" s="21"/>
      <c r="O41" s="21"/>
      <c r="P41" s="21"/>
    </row>
    <row r="42" spans="1:34" x14ac:dyDescent="0.25">
      <c r="A42" s="5" t="s">
        <v>223</v>
      </c>
      <c r="C42" s="21"/>
      <c r="D42" s="21"/>
      <c r="E42" s="21"/>
      <c r="F42" s="21"/>
      <c r="G42" s="21"/>
      <c r="H42" s="21"/>
      <c r="I42" s="21"/>
      <c r="J42" s="21"/>
      <c r="K42" s="21"/>
      <c r="L42" s="21"/>
      <c r="M42" s="21"/>
      <c r="N42" s="21"/>
      <c r="O42" s="21"/>
      <c r="P42" s="21"/>
    </row>
    <row r="43" spans="1:34" x14ac:dyDescent="0.25">
      <c r="A43" s="5" t="s">
        <v>24</v>
      </c>
      <c r="C43" s="21"/>
      <c r="D43" s="21"/>
      <c r="E43" s="21"/>
      <c r="F43" s="21"/>
      <c r="G43" s="21"/>
      <c r="H43" s="21"/>
      <c r="I43" s="21"/>
      <c r="J43" s="21"/>
      <c r="K43" s="21"/>
      <c r="L43" s="21"/>
      <c r="M43" s="21"/>
      <c r="N43" s="21"/>
      <c r="O43" s="21"/>
      <c r="P43" s="21"/>
    </row>
    <row r="44" spans="1:34" x14ac:dyDescent="0.25">
      <c r="A44" s="5" t="s">
        <v>94</v>
      </c>
      <c r="C44" s="21"/>
      <c r="D44" s="21"/>
      <c r="E44" s="21"/>
      <c r="F44" s="21"/>
      <c r="G44" s="21"/>
      <c r="H44" s="21"/>
      <c r="I44" s="21"/>
      <c r="J44" s="21"/>
      <c r="K44" s="21"/>
      <c r="L44" s="21"/>
      <c r="M44" s="21"/>
      <c r="N44" s="21"/>
      <c r="O44" s="21"/>
      <c r="P44" s="21"/>
    </row>
    <row r="45" spans="1:34" x14ac:dyDescent="0.25">
      <c r="A45" s="5" t="s">
        <v>224</v>
      </c>
      <c r="C45" s="21"/>
      <c r="D45" s="21"/>
      <c r="E45" s="21"/>
      <c r="F45" s="21"/>
      <c r="G45" s="21"/>
      <c r="H45" s="21"/>
      <c r="I45" s="21"/>
      <c r="J45" s="21"/>
      <c r="K45" s="21"/>
      <c r="L45" s="21"/>
      <c r="M45" s="21"/>
      <c r="N45" s="21"/>
      <c r="O45" s="21"/>
      <c r="P45" s="21"/>
    </row>
    <row r="46" spans="1:34" x14ac:dyDescent="0.25">
      <c r="A46" s="5" t="s">
        <v>225</v>
      </c>
      <c r="C46" s="21"/>
      <c r="D46" s="21"/>
      <c r="E46" s="21"/>
      <c r="F46" s="21"/>
      <c r="G46" s="21"/>
      <c r="H46" s="21"/>
      <c r="I46" s="21"/>
      <c r="J46" s="21"/>
      <c r="K46" s="21"/>
      <c r="L46" s="21"/>
      <c r="M46" s="21"/>
      <c r="N46" s="21"/>
      <c r="O46" s="21"/>
      <c r="P46" s="21"/>
    </row>
    <row r="47" spans="1:34" x14ac:dyDescent="0.25">
      <c r="A47" s="5" t="s">
        <v>226</v>
      </c>
      <c r="C47" s="21"/>
      <c r="D47" s="21"/>
      <c r="E47" s="21"/>
      <c r="F47" s="21"/>
      <c r="G47" s="21"/>
      <c r="H47" s="21"/>
      <c r="I47" s="21"/>
      <c r="J47" s="21"/>
      <c r="K47" s="21"/>
      <c r="L47" s="21"/>
      <c r="M47" s="21"/>
      <c r="N47" s="21"/>
      <c r="O47" s="21"/>
      <c r="P47" s="21"/>
    </row>
    <row r="48" spans="1:34" x14ac:dyDescent="0.25">
      <c r="A48" s="5" t="s">
        <v>227</v>
      </c>
      <c r="C48" s="21"/>
      <c r="D48" s="21"/>
      <c r="E48" s="21"/>
      <c r="F48" s="21"/>
      <c r="G48" s="21"/>
      <c r="H48" s="21"/>
      <c r="I48" s="21"/>
      <c r="J48" s="21"/>
      <c r="K48" s="21"/>
      <c r="L48" s="21"/>
      <c r="M48" s="21"/>
      <c r="N48" s="21"/>
      <c r="O48" s="21"/>
      <c r="P48" s="21"/>
    </row>
    <row r="49" spans="1:16" x14ac:dyDescent="0.25">
      <c r="A49" s="5" t="s">
        <v>228</v>
      </c>
      <c r="C49" s="28" t="s">
        <v>55</v>
      </c>
      <c r="D49" s="29" t="s">
        <v>71</v>
      </c>
      <c r="E49" s="30"/>
      <c r="F49" s="28" t="s">
        <v>55</v>
      </c>
      <c r="G49" s="28" t="s">
        <v>234</v>
      </c>
      <c r="H49" s="29" t="s">
        <v>71</v>
      </c>
      <c r="I49" s="21"/>
      <c r="J49" s="21"/>
      <c r="K49" s="21"/>
      <c r="L49" s="21"/>
      <c r="M49" s="21"/>
      <c r="N49" s="21"/>
      <c r="O49" s="21"/>
      <c r="P49" s="21"/>
    </row>
    <row r="50" spans="1:16" x14ac:dyDescent="0.25">
      <c r="A50" s="5" t="s">
        <v>229</v>
      </c>
      <c r="C50" s="25" t="s">
        <v>56</v>
      </c>
      <c r="D50" s="26">
        <v>50</v>
      </c>
      <c r="E50" s="30"/>
      <c r="F50" s="25" t="s">
        <v>56</v>
      </c>
      <c r="G50" s="25" t="s">
        <v>235</v>
      </c>
      <c r="H50" s="26">
        <v>50</v>
      </c>
      <c r="I50" s="21"/>
      <c r="J50" s="21"/>
      <c r="K50" s="21"/>
      <c r="L50" s="21"/>
      <c r="M50" s="21"/>
      <c r="N50" s="21"/>
      <c r="O50" s="21"/>
      <c r="P50" s="21"/>
    </row>
    <row r="51" spans="1:16" x14ac:dyDescent="0.25">
      <c r="A51" s="5" t="s">
        <v>230</v>
      </c>
      <c r="C51" s="25" t="s">
        <v>57</v>
      </c>
      <c r="D51" s="26">
        <v>20</v>
      </c>
      <c r="E51" s="30"/>
      <c r="F51" s="25" t="s">
        <v>57</v>
      </c>
      <c r="G51" s="25" t="s">
        <v>236</v>
      </c>
      <c r="H51" s="26">
        <v>20</v>
      </c>
      <c r="I51" s="21"/>
      <c r="J51" s="21"/>
      <c r="K51" s="21"/>
      <c r="L51" s="21"/>
      <c r="M51" s="21"/>
      <c r="N51" s="21"/>
      <c r="O51" s="21"/>
      <c r="P51" s="21"/>
    </row>
    <row r="52" spans="1:16" x14ac:dyDescent="0.25">
      <c r="A52" s="5" t="s">
        <v>231</v>
      </c>
      <c r="C52" s="25" t="s">
        <v>58</v>
      </c>
      <c r="D52" s="26">
        <v>60</v>
      </c>
      <c r="E52" s="30"/>
      <c r="F52" s="25" t="s">
        <v>58</v>
      </c>
      <c r="G52" s="25" t="s">
        <v>237</v>
      </c>
      <c r="H52" s="26">
        <v>60</v>
      </c>
      <c r="I52" s="21"/>
      <c r="J52" s="21"/>
      <c r="K52" s="21"/>
      <c r="L52" s="21"/>
      <c r="M52" s="21"/>
      <c r="N52" s="21"/>
      <c r="O52" s="21"/>
      <c r="P52" s="21"/>
    </row>
    <row r="53" spans="1:16" x14ac:dyDescent="0.25">
      <c r="A53" s="5" t="s">
        <v>29</v>
      </c>
      <c r="C53" s="25" t="s">
        <v>59</v>
      </c>
      <c r="D53" s="26">
        <v>40</v>
      </c>
      <c r="E53" s="30"/>
      <c r="F53" s="25" t="s">
        <v>59</v>
      </c>
      <c r="G53" s="25" t="s">
        <v>238</v>
      </c>
      <c r="H53" s="26">
        <v>40</v>
      </c>
      <c r="I53" s="21"/>
      <c r="J53" s="21"/>
      <c r="K53" s="21"/>
      <c r="L53" s="21"/>
      <c r="M53" s="21"/>
      <c r="N53" s="21"/>
      <c r="O53" s="21"/>
      <c r="P53" s="21"/>
    </row>
    <row r="54" spans="1:16" x14ac:dyDescent="0.25">
      <c r="A54" s="5" t="s">
        <v>54</v>
      </c>
      <c r="C54" s="25" t="s">
        <v>56</v>
      </c>
      <c r="D54" s="26">
        <v>50</v>
      </c>
      <c r="E54" s="30"/>
      <c r="F54" s="25" t="s">
        <v>56</v>
      </c>
      <c r="G54" s="25" t="s">
        <v>239</v>
      </c>
      <c r="H54" s="26">
        <v>50</v>
      </c>
      <c r="I54" s="21"/>
      <c r="J54" s="21"/>
      <c r="K54" s="21"/>
      <c r="L54" s="21"/>
      <c r="M54" s="21"/>
      <c r="N54" s="21"/>
      <c r="O54" s="21"/>
      <c r="P54" s="21"/>
    </row>
    <row r="55" spans="1:16" x14ac:dyDescent="0.25">
      <c r="A55" s="5" t="s">
        <v>23</v>
      </c>
      <c r="C55" s="25" t="s">
        <v>57</v>
      </c>
      <c r="D55" s="26">
        <v>20</v>
      </c>
      <c r="E55" s="30"/>
      <c r="F55" s="25" t="s">
        <v>57</v>
      </c>
      <c r="G55" s="25" t="s">
        <v>240</v>
      </c>
      <c r="H55" s="26">
        <v>20</v>
      </c>
      <c r="I55" s="21"/>
      <c r="J55" s="21"/>
      <c r="K55" s="21"/>
      <c r="L55" s="21"/>
      <c r="M55" s="21"/>
      <c r="N55" s="21"/>
      <c r="O55" s="21"/>
      <c r="P55" s="21"/>
    </row>
    <row r="56" spans="1:16" x14ac:dyDescent="0.25">
      <c r="C56" s="25" t="s">
        <v>58</v>
      </c>
      <c r="D56" s="26">
        <v>60</v>
      </c>
      <c r="E56" s="30"/>
      <c r="F56" s="25" t="s">
        <v>58</v>
      </c>
      <c r="G56" s="25" t="s">
        <v>241</v>
      </c>
      <c r="H56" s="26">
        <v>60</v>
      </c>
      <c r="I56" s="21"/>
      <c r="J56" s="21"/>
      <c r="K56" s="21"/>
      <c r="L56" s="21"/>
      <c r="M56" s="21"/>
      <c r="N56" s="21"/>
      <c r="O56" s="21"/>
      <c r="P56" s="21"/>
    </row>
    <row r="57" spans="1:16" x14ac:dyDescent="0.25">
      <c r="C57" s="25" t="s">
        <v>59</v>
      </c>
      <c r="D57" s="26">
        <v>40</v>
      </c>
      <c r="E57" s="30"/>
      <c r="F57" s="25" t="s">
        <v>59</v>
      </c>
      <c r="G57" s="25" t="s">
        <v>242</v>
      </c>
      <c r="H57" s="26">
        <v>40</v>
      </c>
      <c r="I57" s="21"/>
      <c r="J57" s="21"/>
      <c r="K57" s="21"/>
      <c r="L57" s="21"/>
      <c r="M57" s="21"/>
      <c r="N57" s="21"/>
      <c r="O57" s="21"/>
      <c r="P57" s="21"/>
    </row>
    <row r="58" spans="1:16" x14ac:dyDescent="0.25">
      <c r="C58" s="25" t="s">
        <v>56</v>
      </c>
      <c r="D58" s="26">
        <v>50</v>
      </c>
      <c r="E58" s="30"/>
      <c r="F58" s="25" t="s">
        <v>56</v>
      </c>
      <c r="G58" s="25" t="s">
        <v>239</v>
      </c>
      <c r="H58" s="26">
        <v>50</v>
      </c>
      <c r="I58" s="21"/>
      <c r="J58" s="21"/>
      <c r="K58" s="21"/>
      <c r="L58" s="21"/>
      <c r="M58" s="21"/>
      <c r="N58" s="21"/>
      <c r="O58" s="21"/>
      <c r="P58" s="21"/>
    </row>
    <row r="59" spans="1:16" x14ac:dyDescent="0.25">
      <c r="C59" s="25" t="s">
        <v>57</v>
      </c>
      <c r="D59" s="26">
        <v>20</v>
      </c>
      <c r="E59" s="30"/>
      <c r="F59" s="25" t="s">
        <v>57</v>
      </c>
      <c r="G59" s="25" t="s">
        <v>240</v>
      </c>
      <c r="H59" s="26">
        <v>20</v>
      </c>
      <c r="I59" s="21"/>
      <c r="J59" s="21"/>
      <c r="K59" s="21"/>
      <c r="L59" s="21"/>
      <c r="M59" s="21"/>
      <c r="N59" s="21"/>
      <c r="O59" s="21"/>
      <c r="P59" s="21"/>
    </row>
    <row r="60" spans="1:16" x14ac:dyDescent="0.25">
      <c r="C60" s="25" t="s">
        <v>58</v>
      </c>
      <c r="D60" s="26">
        <v>60</v>
      </c>
      <c r="E60" s="30"/>
      <c r="F60" s="25" t="s">
        <v>58</v>
      </c>
      <c r="G60" s="25" t="s">
        <v>237</v>
      </c>
      <c r="H60" s="26">
        <v>60</v>
      </c>
      <c r="I60" s="21"/>
      <c r="J60" s="21"/>
      <c r="K60" s="21"/>
      <c r="L60" s="21"/>
      <c r="M60" s="21"/>
      <c r="N60" s="21"/>
      <c r="O60" s="21"/>
      <c r="P60" s="21"/>
    </row>
    <row r="61" spans="1:16" x14ac:dyDescent="0.25">
      <c r="C61" s="25" t="s">
        <v>59</v>
      </c>
      <c r="D61" s="26">
        <v>40</v>
      </c>
      <c r="E61" s="30"/>
      <c r="F61" s="25" t="s">
        <v>59</v>
      </c>
      <c r="G61" s="25" t="s">
        <v>242</v>
      </c>
      <c r="H61" s="26">
        <v>40</v>
      </c>
      <c r="I61" s="21"/>
      <c r="J61" s="21"/>
      <c r="K61" s="21"/>
      <c r="L61" s="21"/>
      <c r="M61" s="21"/>
      <c r="N61" s="21"/>
      <c r="O61" s="21"/>
      <c r="P61" s="21"/>
    </row>
    <row r="62" spans="1:16" x14ac:dyDescent="0.25">
      <c r="C62" s="12"/>
      <c r="D62" s="12"/>
      <c r="E62" s="12"/>
      <c r="F62" s="12"/>
      <c r="G62" s="12"/>
      <c r="H62" s="12"/>
      <c r="I62" s="21"/>
      <c r="J62" s="21"/>
      <c r="K62" s="21"/>
      <c r="L62" s="21"/>
      <c r="M62" s="21"/>
      <c r="N62" s="21"/>
      <c r="O62" s="21"/>
      <c r="P62" s="21"/>
    </row>
    <row r="63" spans="1:16" ht="15.75" thickBot="1" x14ac:dyDescent="0.3">
      <c r="C63" s="21" t="s">
        <v>55</v>
      </c>
      <c r="D63" s="39" t="s">
        <v>233</v>
      </c>
      <c r="E63" s="30"/>
      <c r="F63" s="21" t="s">
        <v>55</v>
      </c>
      <c r="G63" s="21" t="s">
        <v>234</v>
      </c>
      <c r="H63" s="39" t="s">
        <v>245</v>
      </c>
      <c r="I63" s="21"/>
      <c r="J63" s="21"/>
      <c r="K63" s="21"/>
      <c r="L63" s="21"/>
      <c r="M63" s="21"/>
      <c r="N63" s="21"/>
      <c r="O63" s="21"/>
      <c r="P63" s="21"/>
    </row>
    <row r="64" spans="1:16" ht="16.5" thickTop="1" thickBot="1" x14ac:dyDescent="0.3">
      <c r="C64" s="40" t="s">
        <v>56</v>
      </c>
      <c r="D64" s="41">
        <f>COUNTIF(C50:C61,C64)</f>
        <v>3</v>
      </c>
      <c r="E64" s="30"/>
      <c r="F64" s="40" t="s">
        <v>57</v>
      </c>
      <c r="G64" s="40" t="s">
        <v>236</v>
      </c>
      <c r="H64" s="23">
        <f>COUNTIFS(F50:F61,F64,G50:G61,G64)</f>
        <v>1</v>
      </c>
      <c r="I64" s="21"/>
      <c r="J64" s="21"/>
      <c r="K64" s="21"/>
      <c r="L64" s="21"/>
      <c r="M64" s="21"/>
      <c r="N64" s="21"/>
      <c r="O64" s="21"/>
      <c r="P64" s="21"/>
    </row>
    <row r="65" spans="3:16" ht="15.75" thickTop="1" x14ac:dyDescent="0.25">
      <c r="C65" s="21"/>
      <c r="D65" s="21"/>
      <c r="E65" s="30"/>
      <c r="F65" s="21"/>
      <c r="G65" s="21"/>
      <c r="H65" s="21"/>
      <c r="I65" s="21"/>
      <c r="J65" s="21"/>
      <c r="K65" s="21"/>
      <c r="L65" s="21"/>
      <c r="M65" s="21"/>
      <c r="N65" s="21"/>
      <c r="O65" s="21"/>
      <c r="P65" s="21"/>
    </row>
    <row r="66" spans="3:16" x14ac:dyDescent="0.25">
      <c r="I66" s="21"/>
      <c r="J66" s="21"/>
      <c r="K66" s="21"/>
      <c r="L66" s="21"/>
      <c r="M66" s="21"/>
      <c r="N66" s="21"/>
      <c r="O66" s="21"/>
      <c r="P66" s="21"/>
    </row>
    <row r="67" spans="3:16" x14ac:dyDescent="0.25">
      <c r="I67" s="21"/>
      <c r="J67" s="21"/>
      <c r="K67" s="21"/>
      <c r="L67" s="21"/>
      <c r="M67" s="21"/>
      <c r="N67" s="21"/>
      <c r="O67" s="21"/>
      <c r="P67" s="21"/>
    </row>
    <row r="68" spans="3:16" x14ac:dyDescent="0.25">
      <c r="I68" s="21"/>
      <c r="J68" s="21"/>
      <c r="K68" s="21"/>
      <c r="L68" s="21"/>
      <c r="M68" s="21"/>
      <c r="N68" s="21"/>
      <c r="O68" s="21"/>
      <c r="P68" s="21"/>
    </row>
    <row r="69" spans="3:16" x14ac:dyDescent="0.25">
      <c r="I69" s="21"/>
      <c r="J69" s="21"/>
      <c r="K69" s="21"/>
      <c r="L69" s="21"/>
      <c r="M69" s="21"/>
      <c r="N69" s="21"/>
      <c r="O69" s="21"/>
      <c r="P69" s="21"/>
    </row>
    <row r="70" spans="3:16" x14ac:dyDescent="0.25">
      <c r="I70" s="21"/>
      <c r="J70" s="21"/>
      <c r="K70" s="21"/>
      <c r="L70" s="21"/>
      <c r="M70" s="21"/>
      <c r="N70" s="21"/>
      <c r="O70" s="21"/>
      <c r="P70" s="21"/>
    </row>
    <row r="71" spans="3:16" x14ac:dyDescent="0.25">
      <c r="I71" s="21"/>
      <c r="J71" s="21"/>
      <c r="K71" s="21"/>
      <c r="L71" s="21"/>
      <c r="M71" s="21"/>
      <c r="N71" s="21"/>
      <c r="O71" s="21"/>
      <c r="P71" s="21"/>
    </row>
    <row r="72" spans="3:16" x14ac:dyDescent="0.25">
      <c r="I72" s="21"/>
      <c r="J72" s="21"/>
      <c r="K72" s="21"/>
      <c r="L72" s="21"/>
      <c r="M72" s="21"/>
      <c r="N72" s="21"/>
      <c r="O72" s="21"/>
      <c r="P72" s="21"/>
    </row>
    <row r="73" spans="3:16" x14ac:dyDescent="0.25">
      <c r="I73" s="21"/>
      <c r="J73" s="21"/>
      <c r="K73" s="21"/>
      <c r="L73" s="21"/>
      <c r="M73" s="21"/>
      <c r="N73" s="21"/>
      <c r="O73" s="21"/>
      <c r="P73" s="21"/>
    </row>
    <row r="74" spans="3:16" x14ac:dyDescent="0.25">
      <c r="I74" s="21"/>
      <c r="J74" s="21"/>
      <c r="K74" s="21"/>
      <c r="L74" s="21"/>
      <c r="M74" s="21"/>
      <c r="N74" s="21"/>
      <c r="O74" s="21"/>
      <c r="P74" s="21"/>
    </row>
    <row r="75" spans="3:16" x14ac:dyDescent="0.25">
      <c r="I75" s="21"/>
      <c r="J75" s="21"/>
      <c r="K75" s="21"/>
      <c r="L75" s="21"/>
      <c r="M75" s="21"/>
      <c r="N75" s="21"/>
      <c r="O75" s="21"/>
      <c r="P75" s="21"/>
    </row>
    <row r="76" spans="3:16" x14ac:dyDescent="0.25">
      <c r="I76" s="21"/>
      <c r="J76" s="21"/>
      <c r="K76" s="21"/>
      <c r="L76" s="21"/>
      <c r="M76" s="21"/>
      <c r="N76" s="21"/>
      <c r="O76" s="21"/>
      <c r="P76" s="21"/>
    </row>
    <row r="77" spans="3:16" x14ac:dyDescent="0.25">
      <c r="I77" s="21"/>
      <c r="J77" s="21"/>
      <c r="K77" s="21"/>
      <c r="L77" s="21"/>
      <c r="M77" s="21"/>
      <c r="N77" s="21"/>
      <c r="O77" s="21"/>
      <c r="P77" s="21"/>
    </row>
    <row r="78" spans="3:16" x14ac:dyDescent="0.25">
      <c r="I78" s="21"/>
      <c r="J78" s="21"/>
      <c r="K78" s="21"/>
      <c r="L78" s="21"/>
      <c r="M78" s="21"/>
      <c r="N78" s="21"/>
      <c r="O78" s="21"/>
      <c r="P78" s="21"/>
    </row>
    <row r="79" spans="3:16" x14ac:dyDescent="0.25">
      <c r="I79" s="21"/>
      <c r="J79" s="21"/>
      <c r="K79" s="21"/>
      <c r="L79" s="21"/>
      <c r="M79" s="21"/>
      <c r="N79" s="21"/>
      <c r="O79" s="21"/>
      <c r="P79" s="21"/>
    </row>
    <row r="80" spans="3:16" x14ac:dyDescent="0.25">
      <c r="I80" s="21"/>
      <c r="J80" s="21"/>
      <c r="K80" s="21"/>
      <c r="L80" s="21"/>
      <c r="M80" s="21"/>
      <c r="N80" s="21"/>
      <c r="O80" s="21"/>
      <c r="P80" s="21"/>
    </row>
    <row r="81" spans="3:16" x14ac:dyDescent="0.25">
      <c r="I81" s="21"/>
      <c r="J81" s="21"/>
      <c r="K81" s="21"/>
      <c r="L81" s="21"/>
      <c r="M81" s="21"/>
      <c r="N81" s="21"/>
      <c r="O81" s="21"/>
      <c r="P81" s="21"/>
    </row>
    <row r="82" spans="3:16" x14ac:dyDescent="0.25">
      <c r="F82" s="21"/>
      <c r="G82" s="21"/>
      <c r="H82" s="21"/>
      <c r="I82" s="21"/>
      <c r="J82" s="21"/>
      <c r="K82" s="21"/>
      <c r="L82" s="21"/>
      <c r="M82" s="21"/>
      <c r="N82" s="21"/>
      <c r="O82" s="21"/>
      <c r="P82" s="21"/>
    </row>
    <row r="83" spans="3:16" x14ac:dyDescent="0.25">
      <c r="F83" s="21"/>
      <c r="G83" s="21"/>
      <c r="H83" s="21"/>
      <c r="I83" s="21"/>
      <c r="J83" s="21"/>
      <c r="K83" s="21"/>
      <c r="L83" s="21"/>
      <c r="M83" s="21"/>
      <c r="N83" s="21"/>
      <c r="O83" s="21"/>
      <c r="P83" s="21"/>
    </row>
    <row r="84" spans="3:16" x14ac:dyDescent="0.25">
      <c r="F84" s="21"/>
      <c r="G84" s="21"/>
      <c r="H84" s="21"/>
      <c r="I84" s="21"/>
      <c r="J84" s="21"/>
      <c r="K84" s="21"/>
      <c r="L84" s="21"/>
      <c r="M84" s="21"/>
      <c r="N84" s="21"/>
      <c r="O84" s="21"/>
      <c r="P84" s="21"/>
    </row>
    <row r="85" spans="3:16" x14ac:dyDescent="0.25">
      <c r="F85" s="21"/>
      <c r="G85" s="21"/>
      <c r="H85" s="21"/>
      <c r="I85" s="21"/>
      <c r="J85" s="21"/>
      <c r="K85" s="21"/>
      <c r="L85" s="21"/>
      <c r="M85" s="21"/>
      <c r="N85" s="21"/>
      <c r="O85" s="21"/>
      <c r="P85" s="21"/>
    </row>
    <row r="86" spans="3:16" x14ac:dyDescent="0.25">
      <c r="F86" s="21"/>
      <c r="G86" s="21"/>
      <c r="H86" s="21"/>
      <c r="I86" s="21"/>
      <c r="J86" s="21"/>
      <c r="K86" s="21"/>
      <c r="L86" s="21"/>
      <c r="M86" s="21"/>
      <c r="N86" s="21"/>
      <c r="O86" s="21"/>
      <c r="P86" s="21"/>
    </row>
    <row r="87" spans="3:16" x14ac:dyDescent="0.25">
      <c r="F87" s="21"/>
      <c r="G87" s="21"/>
      <c r="H87" s="21"/>
      <c r="I87" s="21"/>
      <c r="J87" s="21"/>
      <c r="K87" s="21"/>
      <c r="L87" s="21"/>
      <c r="M87" s="21"/>
      <c r="N87" s="21"/>
      <c r="O87" s="21"/>
      <c r="P87" s="21"/>
    </row>
    <row r="88" spans="3:16" x14ac:dyDescent="0.25">
      <c r="F88" s="21"/>
      <c r="G88" s="21"/>
      <c r="H88" s="21"/>
      <c r="I88" s="21"/>
      <c r="J88" s="21"/>
      <c r="K88" s="21"/>
      <c r="L88" s="21"/>
      <c r="M88" s="21"/>
      <c r="N88" s="21"/>
      <c r="O88" s="21"/>
      <c r="P88" s="21"/>
    </row>
    <row r="89" spans="3:16" x14ac:dyDescent="0.25">
      <c r="F89" s="21"/>
      <c r="G89" s="21"/>
      <c r="H89" s="21"/>
      <c r="I89" s="21"/>
      <c r="J89" s="21"/>
      <c r="K89" s="21"/>
      <c r="L89" s="21"/>
      <c r="M89" s="21"/>
      <c r="N89" s="21"/>
      <c r="O89" s="21"/>
      <c r="P89" s="21"/>
    </row>
    <row r="90" spans="3:16" ht="15" customHeight="1" x14ac:dyDescent="0.25">
      <c r="J90" s="21"/>
      <c r="K90" s="21"/>
      <c r="N90" s="21"/>
    </row>
    <row r="91" spans="3:16" ht="15" customHeight="1" x14ac:dyDescent="0.25">
      <c r="C91" s="28" t="s">
        <v>55</v>
      </c>
      <c r="D91" s="28" t="s">
        <v>234</v>
      </c>
      <c r="E91" s="29" t="s">
        <v>71</v>
      </c>
      <c r="J91" s="21"/>
      <c r="K91" s="21"/>
      <c r="N91" s="21"/>
    </row>
    <row r="92" spans="3:16" ht="15" customHeight="1" x14ac:dyDescent="0.25">
      <c r="C92" s="25" t="s">
        <v>56</v>
      </c>
      <c r="D92" s="25" t="s">
        <v>235</v>
      </c>
      <c r="E92" s="26">
        <v>50</v>
      </c>
    </row>
    <row r="93" spans="3:16" ht="15" customHeight="1" x14ac:dyDescent="0.25">
      <c r="C93" s="25" t="s">
        <v>57</v>
      </c>
      <c r="D93" s="25" t="s">
        <v>236</v>
      </c>
      <c r="E93" s="26">
        <v>20</v>
      </c>
    </row>
    <row r="94" spans="3:16" ht="15" customHeight="1" x14ac:dyDescent="0.25">
      <c r="C94" s="25" t="s">
        <v>58</v>
      </c>
      <c r="D94" s="25" t="s">
        <v>237</v>
      </c>
      <c r="E94" s="26">
        <v>60</v>
      </c>
      <c r="H94" s="21"/>
      <c r="I94" s="21"/>
      <c r="J94" s="21"/>
      <c r="K94" s="21"/>
    </row>
    <row r="95" spans="3:16" ht="15" customHeight="1" x14ac:dyDescent="0.25">
      <c r="C95" s="25" t="s">
        <v>59</v>
      </c>
      <c r="D95" s="25" t="s">
        <v>238</v>
      </c>
      <c r="E95" s="26">
        <v>40</v>
      </c>
      <c r="H95" s="21"/>
      <c r="I95" s="21"/>
      <c r="J95" s="21"/>
      <c r="K95" s="21"/>
    </row>
    <row r="96" spans="3:16" ht="15" customHeight="1" x14ac:dyDescent="0.25">
      <c r="C96" s="25" t="s">
        <v>56</v>
      </c>
      <c r="D96" s="25" t="s">
        <v>239</v>
      </c>
      <c r="E96" s="26">
        <v>50</v>
      </c>
    </row>
    <row r="97" spans="3:5" x14ac:dyDescent="0.25">
      <c r="C97" s="25" t="s">
        <v>57</v>
      </c>
      <c r="D97" s="25" t="s">
        <v>240</v>
      </c>
      <c r="E97" s="26">
        <v>20</v>
      </c>
    </row>
    <row r="98" spans="3:5" x14ac:dyDescent="0.25">
      <c r="C98" s="25" t="s">
        <v>58</v>
      </c>
      <c r="D98" s="25" t="s">
        <v>241</v>
      </c>
      <c r="E98" s="26">
        <v>60</v>
      </c>
    </row>
    <row r="99" spans="3:5" x14ac:dyDescent="0.25">
      <c r="C99" s="25" t="s">
        <v>59</v>
      </c>
      <c r="D99" s="25" t="s">
        <v>242</v>
      </c>
      <c r="E99" s="26">
        <v>40</v>
      </c>
    </row>
    <row r="100" spans="3:5" x14ac:dyDescent="0.25">
      <c r="C100" s="25" t="s">
        <v>56</v>
      </c>
      <c r="D100" s="25" t="s">
        <v>239</v>
      </c>
      <c r="E100" s="26">
        <v>50</v>
      </c>
    </row>
    <row r="101" spans="3:5" x14ac:dyDescent="0.25">
      <c r="C101" s="25" t="s">
        <v>57</v>
      </c>
      <c r="D101" s="25" t="s">
        <v>240</v>
      </c>
      <c r="E101" s="26">
        <v>20</v>
      </c>
    </row>
    <row r="102" spans="3:5" ht="15" customHeight="1" x14ac:dyDescent="0.25">
      <c r="C102" s="25" t="s">
        <v>58</v>
      </c>
      <c r="D102" s="25" t="s">
        <v>237</v>
      </c>
      <c r="E102" s="26">
        <v>60</v>
      </c>
    </row>
    <row r="103" spans="3:5" ht="15" customHeight="1" x14ac:dyDescent="0.25">
      <c r="C103" s="25" t="s">
        <v>59</v>
      </c>
      <c r="D103" s="25" t="s">
        <v>242</v>
      </c>
      <c r="E103" s="26">
        <v>40</v>
      </c>
    </row>
    <row r="104" spans="3:5" ht="15" customHeight="1" x14ac:dyDescent="0.25">
      <c r="C104" s="21"/>
      <c r="D104" s="21"/>
      <c r="E104" s="30"/>
    </row>
    <row r="105" spans="3:5" ht="15" customHeight="1" thickBot="1" x14ac:dyDescent="0.3">
      <c r="C105" s="21" t="s">
        <v>55</v>
      </c>
      <c r="D105" s="21" t="s">
        <v>234</v>
      </c>
      <c r="E105" s="39" t="s">
        <v>243</v>
      </c>
    </row>
    <row r="106" spans="3:5" ht="15" customHeight="1" thickTop="1" thickBot="1" x14ac:dyDescent="0.3">
      <c r="C106" s="40" t="s">
        <v>59</v>
      </c>
      <c r="D106" s="40" t="s">
        <v>242</v>
      </c>
      <c r="E106" s="23">
        <f>AVERAGEIFS(E92:E103,C92:C103,C106,D92:D103,D106)</f>
        <v>40</v>
      </c>
    </row>
    <row r="107" spans="3:5" ht="15" customHeight="1" thickTop="1" x14ac:dyDescent="0.25"/>
    <row r="117" spans="3:4" x14ac:dyDescent="0.25">
      <c r="C117" s="28" t="s">
        <v>61</v>
      </c>
      <c r="D117" s="29" t="s">
        <v>71</v>
      </c>
    </row>
    <row r="118" spans="3:4" x14ac:dyDescent="0.25">
      <c r="C118" s="47" t="s">
        <v>62</v>
      </c>
      <c r="D118" s="47">
        <v>50</v>
      </c>
    </row>
    <row r="119" spans="3:4" x14ac:dyDescent="0.25">
      <c r="C119" s="47" t="s">
        <v>63</v>
      </c>
      <c r="D119" s="47">
        <v>100</v>
      </c>
    </row>
    <row r="120" spans="3:4" x14ac:dyDescent="0.25">
      <c r="C120" s="47" t="s">
        <v>64</v>
      </c>
      <c r="D120" s="47">
        <v>40</v>
      </c>
    </row>
    <row r="121" spans="3:4" x14ac:dyDescent="0.25">
      <c r="C121" s="47" t="s">
        <v>65</v>
      </c>
      <c r="D121" s="47">
        <v>50</v>
      </c>
    </row>
    <row r="122" spans="3:4" ht="15.75" thickBot="1" x14ac:dyDescent="0.3">
      <c r="C122" s="47" t="s">
        <v>66</v>
      </c>
      <c r="D122" s="47">
        <v>20</v>
      </c>
    </row>
    <row r="123" spans="3:4" ht="16.5" thickTop="1" thickBot="1" x14ac:dyDescent="0.3">
      <c r="C123" s="48"/>
      <c r="D123" s="49">
        <f>SUMIF(D118:D122,"&gt;=50")</f>
        <v>200</v>
      </c>
    </row>
    <row r="124" spans="3:4" ht="15.75" thickTop="1" x14ac:dyDescent="0.25"/>
  </sheetData>
  <phoneticPr fontId="23" type="noConversion"/>
  <dataValidations count="2">
    <dataValidation type="list" allowBlank="1" showInputMessage="1" showErrorMessage="1" sqref="C17 C34 F17 F34 C106 C64 C81 F64 F81" xr:uid="{00000000-0002-0000-0900-000000000000}">
      <formula1>lst_Fruit</formula1>
    </dataValidation>
    <dataValidation type="list" allowBlank="1" showInputMessage="1" showErrorMessage="1" sqref="G17 G34 D106 G64 G81" xr:uid="{00000000-0002-0000-0900-000001000000}">
      <formula1>INDIRECT(C17)</formula1>
    </dataValidation>
  </dataValidations>
  <pageMargins left="0.7" right="0.7" top="0.75" bottom="0.75" header="0.3" footer="0.3"/>
  <pageSetup paperSize="9"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D10" sqref="D10"/>
    </sheetView>
  </sheetViews>
  <sheetFormatPr defaultRowHeight="15" x14ac:dyDescent="0.25"/>
  <cols>
    <col min="1" max="1" width="13.109375" style="12" customWidth="1"/>
    <col min="2" max="2" width="63.77734375" style="12" customWidth="1"/>
    <col min="3" max="3" width="13.21875" style="12" customWidth="1"/>
    <col min="4" max="4" width="10.77734375" style="12" customWidth="1"/>
    <col min="5" max="16384" width="8.88671875" style="12"/>
  </cols>
  <sheetData>
    <row r="1" spans="1:4" ht="60" customHeight="1" x14ac:dyDescent="0.25">
      <c r="A1" s="11" t="s">
        <v>246</v>
      </c>
      <c r="C1" s="13"/>
      <c r="D1" s="24"/>
    </row>
    <row r="2" spans="1:4" x14ac:dyDescent="0.25">
      <c r="A2" s="11" t="s">
        <v>247</v>
      </c>
    </row>
    <row r="3" spans="1:4" ht="15" customHeight="1" x14ac:dyDescent="0.25">
      <c r="A3" s="20" t="s">
        <v>248</v>
      </c>
    </row>
    <row r="4" spans="1:4" ht="15" customHeight="1" x14ac:dyDescent="0.25">
      <c r="A4" s="20" t="s">
        <v>249</v>
      </c>
      <c r="C4" s="16" t="s">
        <v>55</v>
      </c>
      <c r="D4" s="17" t="s">
        <v>71</v>
      </c>
    </row>
    <row r="5" spans="1:4" ht="15" customHeight="1" x14ac:dyDescent="0.25">
      <c r="A5" s="20" t="s">
        <v>250</v>
      </c>
      <c r="C5" s="25" t="s">
        <v>56</v>
      </c>
      <c r="D5" s="26">
        <v>50</v>
      </c>
    </row>
    <row r="6" spans="1:4" x14ac:dyDescent="0.25">
      <c r="A6" s="11" t="s">
        <v>251</v>
      </c>
      <c r="C6" s="25" t="s">
        <v>57</v>
      </c>
      <c r="D6" s="26">
        <v>20</v>
      </c>
    </row>
    <row r="7" spans="1:4" ht="15" customHeight="1" x14ac:dyDescent="0.25">
      <c r="A7" s="20" t="s">
        <v>252</v>
      </c>
      <c r="C7" s="25" t="s">
        <v>58</v>
      </c>
      <c r="D7" s="26">
        <v>60</v>
      </c>
    </row>
    <row r="8" spans="1:4" ht="15" customHeight="1" x14ac:dyDescent="0.25">
      <c r="A8" s="11" t="s">
        <v>22</v>
      </c>
      <c r="C8" s="25" t="s">
        <v>59</v>
      </c>
      <c r="D8" s="26">
        <v>40</v>
      </c>
    </row>
    <row r="9" spans="1:4" ht="15" customHeight="1" thickBot="1" x14ac:dyDescent="0.3">
      <c r="A9" s="11" t="s">
        <v>23</v>
      </c>
      <c r="C9" s="21"/>
      <c r="D9" s="21"/>
    </row>
    <row r="10" spans="1:4" ht="16.5" thickTop="1" thickBot="1" x14ac:dyDescent="0.3">
      <c r="A10" s="11" t="s">
        <v>24</v>
      </c>
      <c r="C10" s="22" t="s">
        <v>56</v>
      </c>
      <c r="D10" s="23">
        <f>VLOOKUP(C10,C5:D8,2,FALSE)</f>
        <v>50</v>
      </c>
    </row>
    <row r="11" spans="1:4" ht="15.75" thickTop="1" x14ac:dyDescent="0.25">
      <c r="A11" s="11" t="s">
        <v>26</v>
      </c>
    </row>
    <row r="12" spans="1:4" x14ac:dyDescent="0.25">
      <c r="A12" s="11" t="s">
        <v>253</v>
      </c>
    </row>
    <row r="13" spans="1:4" x14ac:dyDescent="0.25">
      <c r="A13" s="11" t="s">
        <v>254</v>
      </c>
    </row>
    <row r="14" spans="1:4" x14ac:dyDescent="0.25">
      <c r="A14" s="11" t="s">
        <v>29</v>
      </c>
    </row>
  </sheetData>
  <phoneticPr fontId="23" type="noConversion"/>
  <dataValidations disablePrompts="1" count="1">
    <dataValidation type="list" allowBlank="1" showInputMessage="1" showErrorMessage="1" sqref="C10" xr:uid="{00000000-0002-0000-0A00-000000000000}">
      <formula1>$C$5:$C$8</formula1>
    </dataValidation>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tabSelected="1" workbookViewId="0">
      <selection activeCell="D9" sqref="D9"/>
    </sheetView>
  </sheetViews>
  <sheetFormatPr defaultRowHeight="15" x14ac:dyDescent="0.25"/>
  <cols>
    <col min="1" max="1" width="13.109375" style="12" customWidth="1"/>
    <col min="2" max="2" width="63.77734375" style="12" customWidth="1"/>
    <col min="3" max="4" width="13.33203125" style="12" customWidth="1"/>
    <col min="5" max="16384" width="8.88671875" style="12"/>
  </cols>
  <sheetData>
    <row r="1" spans="1:4" ht="60" customHeight="1" x14ac:dyDescent="0.25">
      <c r="A1" s="11" t="s">
        <v>255</v>
      </c>
      <c r="C1" s="13"/>
      <c r="D1" s="14"/>
    </row>
    <row r="2" spans="1:4" ht="15" customHeight="1" x14ac:dyDescent="0.25">
      <c r="A2" s="11" t="s">
        <v>256</v>
      </c>
      <c r="C2" s="15"/>
      <c r="D2" s="15"/>
    </row>
    <row r="3" spans="1:4" x14ac:dyDescent="0.25">
      <c r="A3" s="11" t="s">
        <v>257</v>
      </c>
      <c r="C3" s="16" t="s">
        <v>55</v>
      </c>
      <c r="D3" s="17" t="s">
        <v>72</v>
      </c>
    </row>
    <row r="4" spans="1:4" x14ac:dyDescent="0.25">
      <c r="A4" s="11" t="s">
        <v>258</v>
      </c>
      <c r="C4" s="18" t="s">
        <v>56</v>
      </c>
      <c r="D4" s="19">
        <v>50</v>
      </c>
    </row>
    <row r="5" spans="1:4" x14ac:dyDescent="0.25">
      <c r="A5" s="11" t="s">
        <v>259</v>
      </c>
      <c r="C5" s="18" t="s">
        <v>57</v>
      </c>
      <c r="D5" s="19">
        <v>20</v>
      </c>
    </row>
    <row r="6" spans="1:4" x14ac:dyDescent="0.25">
      <c r="A6" s="11" t="s">
        <v>260</v>
      </c>
      <c r="C6" s="18" t="s">
        <v>58</v>
      </c>
      <c r="D6" s="19">
        <v>60</v>
      </c>
    </row>
    <row r="7" spans="1:4" ht="15" customHeight="1" x14ac:dyDescent="0.25">
      <c r="A7" s="20" t="s">
        <v>261</v>
      </c>
      <c r="C7" s="18" t="s">
        <v>59</v>
      </c>
      <c r="D7" s="19">
        <v>40</v>
      </c>
    </row>
    <row r="8" spans="1:4" ht="15.75" thickBot="1" x14ac:dyDescent="0.3">
      <c r="A8" s="11" t="s">
        <v>22</v>
      </c>
      <c r="C8" s="21"/>
      <c r="D8" s="21"/>
    </row>
    <row r="9" spans="1:4" ht="16.5" thickTop="1" thickBot="1" x14ac:dyDescent="0.3">
      <c r="A9" s="11" t="s">
        <v>23</v>
      </c>
      <c r="C9" s="22" t="s">
        <v>295</v>
      </c>
      <c r="D9" s="23" t="e">
        <f>VLOOKUP(C9,C3:D7,2,FALSE)</f>
        <v>#N/A</v>
      </c>
    </row>
    <row r="10" spans="1:4" ht="15.75" thickTop="1" x14ac:dyDescent="0.25">
      <c r="A10" s="11" t="s">
        <v>24</v>
      </c>
    </row>
    <row r="11" spans="1:4" x14ac:dyDescent="0.25">
      <c r="A11" s="11" t="s">
        <v>262</v>
      </c>
    </row>
    <row r="12" spans="1:4" x14ac:dyDescent="0.25">
      <c r="A12" s="11" t="s">
        <v>263</v>
      </c>
    </row>
    <row r="13" spans="1:4" x14ac:dyDescent="0.25">
      <c r="A13" s="11" t="s">
        <v>264</v>
      </c>
    </row>
    <row r="14" spans="1:4" x14ac:dyDescent="0.25">
      <c r="A14" s="11" t="s">
        <v>29</v>
      </c>
    </row>
    <row r="30" spans="3:4" x14ac:dyDescent="0.25">
      <c r="C30" s="16" t="s">
        <v>55</v>
      </c>
      <c r="D30" s="17" t="s">
        <v>71</v>
      </c>
    </row>
    <row r="31" spans="3:4" x14ac:dyDescent="0.25">
      <c r="C31" s="18" t="s">
        <v>56</v>
      </c>
      <c r="D31" s="19">
        <v>50</v>
      </c>
    </row>
    <row r="32" spans="3:4" x14ac:dyDescent="0.25">
      <c r="C32" s="18" t="s">
        <v>57</v>
      </c>
      <c r="D32" s="19">
        <v>20</v>
      </c>
    </row>
    <row r="33" spans="3:4" x14ac:dyDescent="0.25">
      <c r="C33" s="18" t="s">
        <v>58</v>
      </c>
      <c r="D33" s="19">
        <v>60</v>
      </c>
    </row>
    <row r="34" spans="3:4" x14ac:dyDescent="0.25">
      <c r="C34" s="18" t="s">
        <v>59</v>
      </c>
      <c r="D34" s="19">
        <v>40</v>
      </c>
    </row>
    <row r="35" spans="3:4" ht="15.75" thickBot="1" x14ac:dyDescent="0.3"/>
    <row r="36" spans="3:4" ht="16.5" thickTop="1" thickBot="1" x14ac:dyDescent="0.3">
      <c r="C36" s="22" t="s">
        <v>170</v>
      </c>
      <c r="D36" s="23" t="e">
        <f ca="1">sume(D31:D34)</f>
        <v>#NAME?</v>
      </c>
    </row>
    <row r="37" spans="3:4" ht="15.75" thickTop="1" x14ac:dyDescent="0.25"/>
  </sheetData>
  <phoneticPr fontId="23" type="noConversion"/>
  <dataValidations count="1">
    <dataValidation type="list" allowBlank="1" showInputMessage="1" showErrorMessage="1" sqref="C9" xr:uid="{00000000-0002-0000-0B00-000000000000}">
      <formula1>$C$9:$C$38</formula1>
    </dataValidation>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6"/>
  <sheetViews>
    <sheetView showGridLines="0" zoomScaleNormal="100" workbookViewId="0"/>
  </sheetViews>
  <sheetFormatPr defaultColWidth="8.88671875" defaultRowHeight="15" customHeight="1" x14ac:dyDescent="0.25"/>
  <cols>
    <col min="1" max="1" width="8.88671875" style="5"/>
    <col min="2" max="2" width="95.21875" style="6" customWidth="1"/>
    <col min="3" max="16384" width="8.88671875" style="6"/>
  </cols>
  <sheetData>
    <row r="1" spans="1:2" ht="60" customHeight="1" x14ac:dyDescent="0.25">
      <c r="A1" s="5" t="s">
        <v>265</v>
      </c>
    </row>
    <row r="2" spans="1:2" s="7" customFormat="1" ht="15" customHeight="1" x14ac:dyDescent="0.25">
      <c r="A2" s="5" t="s">
        <v>266</v>
      </c>
      <c r="B2" s="6"/>
    </row>
    <row r="3" spans="1:2" s="7" customFormat="1" ht="15" customHeight="1" x14ac:dyDescent="0.25">
      <c r="A3" s="5" t="s">
        <v>267</v>
      </c>
      <c r="B3" s="6"/>
    </row>
    <row r="4" spans="1:2" s="8" customFormat="1" ht="15" customHeight="1" x14ac:dyDescent="0.5">
      <c r="A4" s="5" t="s">
        <v>268</v>
      </c>
      <c r="B4" s="6"/>
    </row>
    <row r="5" spans="1:2" s="9" customFormat="1" ht="15" customHeight="1" x14ac:dyDescent="0.25">
      <c r="A5" s="10" t="s">
        <v>269</v>
      </c>
      <c r="B5" s="6"/>
    </row>
    <row r="6" spans="1:2" s="9" customFormat="1" ht="15" customHeight="1" x14ac:dyDescent="0.25">
      <c r="A6" s="5"/>
      <c r="B6" s="6"/>
    </row>
  </sheetData>
  <phoneticPr fontId="23" type="noConversion"/>
  <hyperlinks>
    <hyperlink ref="A4" r:id="rId1" tooltip="選取以深入了解社群" display="http://go.microsoft.com/fwlink/?LinkId=844969" xr:uid="{00000000-0004-0000-0C00-000001000000}"/>
    <hyperlink ref="A5" r:id="rId2" tooltip="選取以深入了解其他新功能" display="http://go.microsoft.com/fwlink/?LinkId=846286" xr:uid="{00000000-0004-0000-0C00-00000200000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Template>TM16400656</Template>
  <Application>Microsoft Excel</Application>
  <DocSecurity>0</DocSecurity>
  <ScaleCrop>false</ScaleCrop>
  <HeadingPairs>
    <vt:vector size="4" baseType="variant">
      <vt:variant>
        <vt:lpstr>工作表</vt:lpstr>
      </vt:variant>
      <vt:variant>
        <vt:i4>13</vt:i4>
      </vt:variant>
      <vt:variant>
        <vt:lpstr>具名範圍</vt:lpstr>
      </vt:variant>
      <vt:variant>
        <vt:i4>15</vt:i4>
      </vt:variant>
    </vt:vector>
  </HeadingPairs>
  <TitlesOfParts>
    <vt:vector size="28" baseType="lpstr">
      <vt:lpstr>開始</vt:lpstr>
      <vt:lpstr>基本功能</vt:lpstr>
      <vt:lpstr>函數簡介</vt:lpstr>
      <vt:lpstr>AVERAGE</vt:lpstr>
      <vt:lpstr>MIN 和 MAX</vt:lpstr>
      <vt:lpstr>日期和時間</vt:lpstr>
      <vt:lpstr>合併文字和數值</vt:lpstr>
      <vt:lpstr>IF 陳述式</vt:lpstr>
      <vt:lpstr>VLOOKUP</vt:lpstr>
      <vt:lpstr>條件式函數</vt:lpstr>
      <vt:lpstr>函數精靈</vt:lpstr>
      <vt:lpstr>公式錯誤</vt:lpstr>
      <vt:lpstr>深入了解</vt:lpstr>
      <vt:lpstr>條件式函數!Extract</vt:lpstr>
      <vt:lpstr>lst_Fruit</vt:lpstr>
      <vt:lpstr>lst_FruitType</vt:lpstr>
      <vt:lpstr>函數簡介!SUMExtraCredit</vt:lpstr>
      <vt:lpstr>函數簡介!水果</vt:lpstr>
      <vt:lpstr>函數簡介!合計</vt:lpstr>
      <vt:lpstr>函數簡介!肉品</vt:lpstr>
      <vt:lpstr>函數簡介!更多水果</vt:lpstr>
      <vt:lpstr>函數簡介!更多項目</vt:lpstr>
      <vt:lpstr>香蕉</vt:lpstr>
      <vt:lpstr>函數簡介!祕笈</vt:lpstr>
      <vt:lpstr>函數簡介!項目</vt:lpstr>
      <vt:lpstr>橘子</vt:lpstr>
      <vt:lpstr>檸檬</vt:lpstr>
      <vt:lpstr>蘋果</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2019-06-19T15:26:14Z</dcterms:created>
  <dcterms:modified xsi:type="dcterms:W3CDTF">2026-04-11T11:21:10Z</dcterms:modified>
  <cp:category/>
  <cp:contentStatus/>
</cp:coreProperties>
</file>